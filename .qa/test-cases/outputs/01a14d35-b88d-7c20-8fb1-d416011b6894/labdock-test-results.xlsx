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7ba846fcc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1368bba695174770"/>
    <x:sheet xmlns:r="http://schemas.openxmlformats.org/officeDocument/2006/relationships" name="AUTH" sheetId="2" r:id="Reaa7a5acf95f4e59"/>
    <x:sheet xmlns:r="http://schemas.openxmlformats.org/officeDocument/2006/relationships" name="HOME" sheetId="3" r:id="R751a7644dbae4a64"/>
    <x:sheet xmlns:r="http://schemas.openxmlformats.org/officeDocument/2006/relationships" name="CAT" sheetId="4" r:id="R0f95e23c0b964e64"/>
    <x:sheet xmlns:r="http://schemas.openxmlformats.org/officeDocument/2006/relationships" name="PDP" sheetId="5" r:id="Rd3e3fa95fa314c45"/>
    <x:sheet xmlns:r="http://schemas.openxmlformats.org/officeDocument/2006/relationships" name="CART" sheetId="6" r:id="R8acf48fc31664962"/>
    <x:sheet xmlns:r="http://schemas.openxmlformats.org/officeDocument/2006/relationships" name="CHK" sheetId="7" r:id="Rbb9176fc6c8d42f3"/>
    <x:sheet xmlns:r="http://schemas.openxmlformats.org/officeDocument/2006/relationships" name="PAY" sheetId="8" r:id="Rb9e1516628bf4234"/>
    <x:sheet xmlns:r="http://schemas.openxmlformats.org/officeDocument/2006/relationships" name="QUOTE" sheetId="9" r:id="R490c59c22fc44e89"/>
    <x:sheet xmlns:r="http://schemas.openxmlformats.org/officeDocument/2006/relationships" name="ORD" sheetId="10" r:id="Rdf05a02bc2e44fe9"/>
    <x:sheet xmlns:r="http://schemas.openxmlformats.org/officeDocument/2006/relationships" name="RFQ" sheetId="11" r:id="Rae162073777c4fd0"/>
    <x:sheet xmlns:r="http://schemas.openxmlformats.org/officeDocument/2006/relationships" name="PRO" sheetId="12" r:id="Re17e5427d739407e"/>
    <x:sheet xmlns:r="http://schemas.openxmlformats.org/officeDocument/2006/relationships" name="CON" sheetId="13" r:id="R7dd18dbb696e45fc"/>
    <x:sheet xmlns:r="http://schemas.openxmlformats.org/officeDocument/2006/relationships" name="CMS" sheetId="14" r:id="Rbccaa3f3cce048ad"/>
    <x:sheet xmlns:r="http://schemas.openxmlformats.org/officeDocument/2006/relationships" name="UI" sheetId="15" r:id="R8beb1b57572648b4"/>
    <x:sheet xmlns:r="http://schemas.openxmlformats.org/officeDocument/2006/relationships" name="SYS" sheetId="16" r:id="R094e982f73f64292"/>
    <x:sheet xmlns:r="http://schemas.openxmlformats.org/officeDocument/2006/relationships" name="LOC" sheetId="17" r:id="R44974640ecbc495f"/>
    <x:sheet xmlns:r="http://schemas.openxmlformats.org/officeDocument/2006/relationships" name="SEO" sheetId="18" r:id="Rd53c1a9795744492"/>
    <x:sheet xmlns:r="http://schemas.openxmlformats.org/officeDocument/2006/relationships" name="E2E" sheetId="19" r:id="R329871a510b54357"/>
    <x:sheet xmlns:r="http://schemas.openxmlformats.org/officeDocument/2006/relationships" name="Du lieu" sheetId="20" r:id="Rc2a8ef31690c460d"/>
    <x:sheet xmlns:r="http://schemas.openxmlformats.org/officeDocument/2006/relationships" name="Source map" sheetId="21" r:id="Rde355986969c4b6c"/>
    <x:sheet xmlns:r="http://schemas.openxmlformats.org/officeDocument/2006/relationships" name="Baseline" sheetId="22" r:id="R0e28ea942034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6">
    <x:font>
      <x:sz val="11"/>
      <x:name val="Carlito"/>
    </x:font>
    <x:font>
      <x:sz val="11"/>
      <x:color rgb="FF162A40"/>
      <x:name val="Arial"/>
    </x:font>
    <x:font>
      <x:b/>
      <x:sz val="16"/>
      <x:color rgb="FF123B67"/>
      <x:name val="Arial"/>
    </x:font>
    <x:font>
      <x:b/>
      <x:sz val="11"/>
      <x:color rgb="FFFFFFFF"/>
      <x:name val="Arial"/>
    </x:font>
    <x:font>
      <x:b/>
      <x:sz val="11"/>
      <x:color rgb="FF162A40"/>
      <x:name val="Arial"/>
    </x:font>
    <x:font>
      <x:sz val="11"/>
      <x:color rgb="FF7B42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7"/>
      </x:patternFill>
    </x:fill>
    <x:fill>
      <x:patternFill patternType="solid">
        <x:fgColor rgb="FFFFF4C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5"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  <x:dxf>
      <x:font>
        <x:b/>
        <x:color rgb="FF7B4200"/>
      </x:font>
      <x:fill>
        <x:patternFill>
          <x:bgColor rgb="FFFFE4BA"/>
        </x:patternFill>
      </x:fill>
    </x:dxf>
    <x:dxf>
      <x:font>
        <x:b/>
        <x:color rgb="FF9B350B"/>
      </x:font>
      <x:fill>
        <x:patternFill>
          <x:bgColor rgb="FFFFF0E9"/>
        </x:patternFill>
      </x:fill>
    </x:dxf>
    <x:dxf>
      <x:font>
        <x:b/>
        <x:color rgb="FFA11919"/>
      </x:font>
      <x:fill>
        <x:patternFill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f4d95a06041da" /><Relationship Type="http://schemas.openxmlformats.org/officeDocument/2006/relationships/theme" Target="/xl/theme/theme1.xml" Id="Rd7f4f0102e7f43f6" /><Relationship Type="http://schemas.openxmlformats.org/officeDocument/2006/relationships/sharedStrings" Target="/xl/sharedStrings.xml" Id="R2f573c0b9d9b41ba" /><Relationship Type="http://schemas.openxmlformats.org/officeDocument/2006/relationships/worksheet" Target="/xl/worksheets/sheet1.xml" Id="R1368bba695174770" /><Relationship Type="http://schemas.openxmlformats.org/officeDocument/2006/relationships/worksheet" Target="/xl/worksheets/sheet2.xml" Id="Reaa7a5acf95f4e59" /><Relationship Type="http://schemas.openxmlformats.org/officeDocument/2006/relationships/worksheet" Target="/xl/worksheets/sheet3.xml" Id="R751a7644dbae4a64" /><Relationship Type="http://schemas.openxmlformats.org/officeDocument/2006/relationships/worksheet" Target="/xl/worksheets/sheet4.xml" Id="R0f95e23c0b964e64" /><Relationship Type="http://schemas.openxmlformats.org/officeDocument/2006/relationships/worksheet" Target="/xl/worksheets/sheet5.xml" Id="Rd3e3fa95fa314c45" /><Relationship Type="http://schemas.openxmlformats.org/officeDocument/2006/relationships/worksheet" Target="/xl/worksheets/sheet6.xml" Id="R8acf48fc31664962" /><Relationship Type="http://schemas.openxmlformats.org/officeDocument/2006/relationships/worksheet" Target="/xl/worksheets/sheet7.xml" Id="Rbb9176fc6c8d42f3" /><Relationship Type="http://schemas.openxmlformats.org/officeDocument/2006/relationships/worksheet" Target="/xl/worksheets/sheet8.xml" Id="Rb9e1516628bf4234" /><Relationship Type="http://schemas.openxmlformats.org/officeDocument/2006/relationships/worksheet" Target="/xl/worksheets/sheet9.xml" Id="R490c59c22fc44e89" /><Relationship Type="http://schemas.openxmlformats.org/officeDocument/2006/relationships/worksheet" Target="/xl/worksheets/sheet10.xml" Id="Rdf05a02bc2e44fe9" /><Relationship Type="http://schemas.openxmlformats.org/officeDocument/2006/relationships/worksheet" Target="/xl/worksheets/sheet11.xml" Id="Rae162073777c4fd0" /><Relationship Type="http://schemas.openxmlformats.org/officeDocument/2006/relationships/worksheet" Target="/xl/worksheets/sheet12.xml" Id="Re17e5427d739407e" /><Relationship Type="http://schemas.openxmlformats.org/officeDocument/2006/relationships/worksheet" Target="/xl/worksheets/sheet13.xml" Id="R7dd18dbb696e45fc" /><Relationship Type="http://schemas.openxmlformats.org/officeDocument/2006/relationships/worksheet" Target="/xl/worksheets/sheet14.xml" Id="Rbccaa3f3cce048ad" /><Relationship Type="http://schemas.openxmlformats.org/officeDocument/2006/relationships/worksheet" Target="/xl/worksheets/sheet15.xml" Id="R8beb1b57572648b4" /><Relationship Type="http://schemas.openxmlformats.org/officeDocument/2006/relationships/worksheet" Target="/xl/worksheets/sheet16.xml" Id="R094e982f73f64292" /><Relationship Type="http://schemas.openxmlformats.org/officeDocument/2006/relationships/worksheet" Target="/xl/worksheets/sheet17.xml" Id="R44974640ecbc495f" /><Relationship Type="http://schemas.openxmlformats.org/officeDocument/2006/relationships/worksheet" Target="/xl/worksheets/sheet18.xml" Id="Rd53c1a9795744492" /><Relationship Type="http://schemas.openxmlformats.org/officeDocument/2006/relationships/worksheet" Target="/xl/worksheets/sheet19.xml" Id="R329871a510b54357" /><Relationship Type="http://schemas.openxmlformats.org/officeDocument/2006/relationships/worksheet" Target="/xl/worksheets/sheet20.xml" Id="Rc2a8ef31690c460d" /><Relationship Type="http://schemas.openxmlformats.org/officeDocument/2006/relationships/worksheet" Target="/xl/worksheets/sheet21.xml" Id="Rde355986969c4b6c" /><Relationship Type="http://schemas.openxmlformats.org/officeDocument/2006/relationships/worksheet" Target="/xl/worksheets/sheet22.xml" Id="R0e28ea94203449d0" /></Relationships>
</file>

<file path=xl/tables/table1.xml><?xml version="1.0" encoding="utf-8"?>
<x:table xmlns:x="http://schemas.openxmlformats.org/spreadsheetml/2006/main" id="1" name="Cases_AUTH" displayName="Cases_AUTH" ref="A4:R62" headerRowCount="1" totalsRowCount="0" totalsRowShown="0">
  <x:autoFilter ref="A4:R6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_HOME" displayName="Cases_HOME" ref="A4:R19" headerRowCount="1" totalsRowCount="0" totalsRowShown="0">
  <x:autoFilter ref="A4:R1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s_CAT" displayName="Cases_CAT" ref="A4:R33" headerRowCount="1" totalsRowCount="0" totalsRowShown="0">
  <x:autoFilter ref="A4:R3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_PDP" displayName="Cases_PDP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s_CART" displayName="Cases_CART" ref="A4:R29" headerRowCount="1" totalsRowCount="0" totalsRowShown="0">
  <x:autoFilter ref="A4:R2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s_CHK" displayName="Cases_CHK" ref="A4:R26" headerRowCount="1" totalsRowCount="0" totalsRowShown="0">
  <x:autoFilter ref="A4:R26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s_PAY" displayName="Cases_PAY" ref="A4:R21" headerRowCount="1" totalsRowCount="0" totalsRowShown="0">
  <x:autoFilter ref="A4:R21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ses_QUOTE" displayName="Cases_QUOTE" ref="A4:R13" headerRowCount="1" totalsRowCount="0" totalsRowShown="0">
  <x:autoFilter ref="A4:R1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ses_ORD" displayName="Cases_ORD" ref="A4:R19" headerRowCount="1" totalsRowCount="0" totalsRowShown="0">
  <x:autoFilter ref="A4:R1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s_RFQ" displayName="Cases_RFQ" ref="A4:R18" headerRowCount="1" totalsRowCount="0" totalsRowShown="0">
  <x:autoFilter ref="A4:R1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_PRO" displayName="Cases_PRO" ref="A4:R58" headerRowCount="1" totalsRowCount="0" totalsRowShown="0">
  <x:autoFilter ref="A4:R5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ses_CON" displayName="Cases_CON" ref="A4:R26" headerRowCount="1" totalsRowCount="0" totalsRowShown="0">
  <x:autoFilter ref="A4:R26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s_CMS" displayName="Cases_CMS" ref="A4:R17" headerRowCount="1" totalsRowCount="0" totalsRowShown="0">
  <x:autoFilter ref="A4:R17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ses_UI" displayName="Cases_UI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ses_SYS" displayName="Cases_SYS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ses_LOC" displayName="Cases_LOC" ref="A4:R12" headerRowCount="1" totalsRowCount="0" totalsRowShown="0">
  <x:autoFilter ref="A4:R1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ses_SEO" displayName="Cases_SEO" ref="A4:R12" headerRowCount="1" totalsRowCount="0" totalsRowShown="0">
  <x:autoFilter ref="A4:R1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ases_E2E" displayName="Cases_E2E" ref="A4:R13" headerRowCount="1" totalsRowCount="0" totalsRowShown="0">
  <x:autoFilter ref="A4:R1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Sets" displayName="DataSets" ref="A4:D23" headerRowCount="1" totalsRowCount="0" totalsRowShown="0">
  <x:autoFilter ref="A4:D23"/>
  <x:tableColumns count="4">
    <x:tableColumn id="1" name="Dataset"/>
    <x:tableColumn id="2" name="Mục đích"/>
    <x:tableColumn id="3" name="Giá trị fixture / chuẩn bị"/>
    <x:tableColumn id="4" name="Điều kiện sử dụng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Inventory" displayName="SourceInventory" ref="A4:F370" headerRowCount="1" totalsRowCount="0" totalsRowShown="0">
  <x:autoFilter ref="A4:F370"/>
  <x:tableColumns count="6">
    <x:tableColumn id="1" name="Source file"/>
    <x:tableColumn id="2" name="Loại"/>
    <x:tableColumn id="3" name="Số dòng"/>
    <x:tableColumn id="4" name="Nhóm kiểm thử"/>
    <x:tableColumn id="5" name="Ca trỏ trực tiếp"/>
    <x:tableColumn id="6" name="SHA-256 snapsho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BaselineResults" displayName="BaselineResults" ref="A4:E70" headerRowCount="1" totalsRowCount="0" totalsRowShown="0">
  <x:autoFilter ref="A4:E70"/>
  <x:tableColumns count="5">
    <x:tableColumn id="1" name="Test file"/>
    <x:tableColumn id="2" name="Kết quả file"/>
    <x:tableColumn id="3" name="Test Pass"/>
    <x:tableColumn id="4" name="Test Fail"/>
    <x:tableColumn id="5" name="Lỗi đã quan sát / giới hạ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2b026dd1ba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0188aa41fa49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2e9aa688de42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fcd8c39061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16e1e000d941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6cbcd920e34b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c088780ddb41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c5c7d1d7a544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e768cf6a1441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6ccbb8133324b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f834c610cb349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5ae07d2808f43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7a4071c1277445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178dc386f554f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00b3fbb4c974e3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e051e5c6ee24d4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e5c7a611ac04d7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33a70006053490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05dd6d1583a468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fa3a9a7a73e4fe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7f453ed77d740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40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5.5600004196167" hidden="0" customWidth="1"/>
    <x:col min="10" max="10" width="2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5" t="str">
        <x:v>Labdock User Portal — Kết quả kiểm thử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7" customHeight="1">
      <x:c r="A3" s="18" t="str">
        <x:v>390 ca: 205 Pass; 42 Blocked; 143 Not run — CHƯA HOÀN TẤT. 377 assertion và 17 browser checks đã pass.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4" customHeight="1">
      <x:c r="A4" s="9" t="str">
        <x:v>Nhóm</x:v>
      </x:c>
      <x:c r="B4" s="9" t="str">
        <x:v>Module</x:v>
      </x:c>
      <x:c r="C4" s="9" t="str">
        <x:v>Tổng ca</x:v>
      </x:c>
      <x:c r="D4" s="9" t="str">
        <x:v>P0</x:v>
      </x:c>
      <x:c r="E4" s="9" t="str">
        <x:v>Pass</x:v>
      </x:c>
      <x:c r="F4" s="9" t="str">
        <x:v>Fail</x:v>
      </x:c>
      <x:c r="G4" s="9" t="str">
        <x:v>Blocked</x:v>
      </x:c>
      <x:c r="H4" s="9" t="str">
        <x:v>Not run</x:v>
      </x:c>
      <x:c r="I4" s="9" t="str">
        <x:v>N/A</x:v>
      </x:c>
      <x:c r="J4" s="9" t="str">
        <x:v>Pass/(Pass+Fail)</x:v>
      </x:c>
    </x:row>
    <x:row r="5" ht="30" customHeight="1">
      <x:c r="A5" s="3" t="str">
        <x:v>AUTH</x:v>
      </x:c>
      <x:c r="B5" s="3" t="str">
        <x:v>Xác thực và OTP</x:v>
      </x:c>
      <x:c r="C5" s="3" t="n">
        <x:f>COUNTA('AUTH'!$A$5:$A$62)</x:f>
        <x:v>58</x:v>
      </x:c>
      <x:c r="D5" s="3" t="n">
        <x:f>COUNTIFS('AUTH'!$C$5:$C$62,"P0")</x:f>
        <x:v>6</x:v>
      </x:c>
      <x:c r="E5" s="3" t="n">
        <x:f>COUNTIFS('AUTH'!$N$5:$N$62,"Pass")</x:f>
        <x:v>35</x:v>
      </x:c>
      <x:c r="F5" s="3" t="n">
        <x:f>COUNTIFS('AUTH'!$N$5:$N$62,"Fail")</x:f>
        <x:v>0</x:v>
      </x:c>
      <x:c r="G5" s="3" t="n">
        <x:f>COUNTIFS('AUTH'!$N$5:$N$62,"Blocked")</x:f>
        <x:v>5</x:v>
      </x:c>
      <x:c r="H5" s="3" t="n">
        <x:f>COUNTIFS('AUTH'!$N$5:$N$62,"Not run")</x:f>
        <x:v>18</x:v>
      </x:c>
      <x:c r="I5" s="3" t="n">
        <x:f>COUNTIFS('AUTH'!$N$5:$N$62,"N/A")</x:f>
        <x:v>0</x:v>
      </x:c>
      <x:c r="J5" s="12" t="n">
        <x:f>IF(E5+F5=0,"Chưa chạy",E5/(E5+F5))</x:f>
        <x:v>1</x:v>
      </x:c>
    </x:row>
    <x:row r="6" ht="30" customHeight="1">
      <x:c r="A6" s="3" t="str">
        <x:v>HOME</x:v>
      </x:c>
      <x:c r="B6" s="3" t="str">
        <x:v>Trang chủ</x:v>
      </x:c>
      <x:c r="C6" s="3" t="n">
        <x:f>COUNTA('HOME'!$A$5:$A$19)</x:f>
        <x:v>15</x:v>
      </x:c>
      <x:c r="D6" s="3" t="n">
        <x:f>COUNTIFS('HOME'!$C$5:$C$19,"P0")</x:f>
        <x:v>0</x:v>
      </x:c>
      <x:c r="E6" s="3" t="n">
        <x:f>COUNTIFS('HOME'!$N$5:$N$19,"Pass")</x:f>
        <x:v>13</x:v>
      </x:c>
      <x:c r="F6" s="3" t="n">
        <x:f>COUNTIFS('HOME'!$N$5:$N$19,"Fail")</x:f>
        <x:v>0</x:v>
      </x:c>
      <x:c r="G6" s="3" t="n">
        <x:f>COUNTIFS('HOME'!$N$5:$N$19,"Blocked")</x:f>
        <x:v>0</x:v>
      </x:c>
      <x:c r="H6" s="3" t="n">
        <x:f>COUNTIFS('HOME'!$N$5:$N$19,"Not run")</x:f>
        <x:v>2</x:v>
      </x:c>
      <x:c r="I6" s="3" t="n">
        <x:f>COUNTIFS('HOME'!$N$5:$N$19,"N/A")</x:f>
        <x:v>0</x:v>
      </x:c>
      <x:c r="J6" s="12" t="n">
        <x:f>IF(E6+F6=0,"Chưa chạy",E6/(E6+F6))</x:f>
        <x:v>1</x:v>
      </x:c>
    </x:row>
    <x:row r="7" ht="30" customHeight="1">
      <x:c r="A7" s="3" t="str">
        <x:v>CAT</x:v>
      </x:c>
      <x:c r="B7" s="3" t="str">
        <x:v>Danh mục, thương hiệu và xuất xứ</x:v>
      </x:c>
      <x:c r="C7" s="3" t="n">
        <x:f>COUNTA('CAT'!$A$5:$A$33)</x:f>
        <x:v>29</x:v>
      </x:c>
      <x:c r="D7" s="3" t="n">
        <x:f>COUNTIFS('CAT'!$C$5:$C$33,"P0")</x:f>
        <x:v>0</x:v>
      </x:c>
      <x:c r="E7" s="3" t="n">
        <x:f>COUNTIFS('CAT'!$N$5:$N$33,"Pass")</x:f>
        <x:v>12</x:v>
      </x:c>
      <x:c r="F7" s="3" t="n">
        <x:f>COUNTIFS('CAT'!$N$5:$N$33,"Fail")</x:f>
        <x:v>0</x:v>
      </x:c>
      <x:c r="G7" s="3" t="n">
        <x:f>COUNTIFS('CAT'!$N$5:$N$33,"Blocked")</x:f>
        <x:v>0</x:v>
      </x:c>
      <x:c r="H7" s="3" t="n">
        <x:f>COUNTIFS('CAT'!$N$5:$N$33,"Not run")</x:f>
        <x:v>17</x:v>
      </x:c>
      <x:c r="I7" s="3" t="n">
        <x:f>COUNTIFS('CAT'!$N$5:$N$33,"N/A")</x:f>
        <x:v>0</x:v>
      </x:c>
      <x:c r="J7" s="12" t="n">
        <x:f>IF(E7+F7=0,"Chưa chạy",E7/(E7+F7))</x:f>
        <x:v>1</x:v>
      </x:c>
    </x:row>
    <x:row r="8" ht="30" customHeight="1">
      <x:c r="A8" s="3" t="str">
        <x:v>PDP</x:v>
      </x:c>
      <x:c r="B8" s="3" t="str">
        <x:v>Chi tiết và mua sản phẩm</x:v>
      </x:c>
      <x:c r="C8" s="3" t="n">
        <x:f>COUNTA('PDP'!$A$5:$A$28)</x:f>
        <x:v>24</x:v>
      </x:c>
      <x:c r="D8" s="3" t="n">
        <x:f>COUNTIFS('PDP'!$C$5:$C$28,"P0")</x:f>
        <x:v>3</x:v>
      </x:c>
      <x:c r="E8" s="3" t="n">
        <x:f>COUNTIFS('PDP'!$N$5:$N$28,"Pass")</x:f>
        <x:v>9</x:v>
      </x:c>
      <x:c r="F8" s="3" t="n">
        <x:f>COUNTIFS('PDP'!$N$5:$N$28,"Fail")</x:f>
        <x:v>0</x:v>
      </x:c>
      <x:c r="G8" s="3" t="n">
        <x:f>COUNTIFS('PDP'!$N$5:$N$28,"Blocked")</x:f>
        <x:v>2</x:v>
      </x:c>
      <x:c r="H8" s="3" t="n">
        <x:f>COUNTIFS('PDP'!$N$5:$N$28,"Not run")</x:f>
        <x:v>13</x:v>
      </x:c>
      <x:c r="I8" s="3" t="n">
        <x:f>COUNTIFS('PDP'!$N$5:$N$28,"N/A")</x:f>
        <x:v>0</x:v>
      </x:c>
      <x:c r="J8" s="12" t="n">
        <x:f>IF(E8+F8=0,"Chưa chạy",E8/(E8+F8))</x:f>
        <x:v>1</x:v>
      </x:c>
    </x:row>
    <x:row r="9" ht="30" customHeight="1">
      <x:c r="A9" s="3" t="str">
        <x:v>CART</x:v>
      </x:c>
      <x:c r="B9" s="3" t="str">
        <x:v>Giỏ hàng và giỏ ở header</x:v>
      </x:c>
      <x:c r="C9" s="3" t="n">
        <x:f>COUNTA('CART'!$A$5:$A$29)</x:f>
        <x:v>25</x:v>
      </x:c>
      <x:c r="D9" s="3" t="n">
        <x:f>COUNTIFS('CART'!$C$5:$C$29,"P0")</x:f>
        <x:v>6</x:v>
      </x:c>
      <x:c r="E9" s="3" t="n">
        <x:f>COUNTIFS('CART'!$N$5:$N$29,"Pass")</x:f>
        <x:v>13</x:v>
      </x:c>
      <x:c r="F9" s="3" t="n">
        <x:f>COUNTIFS('CART'!$N$5:$N$29,"Fail")</x:f>
        <x:v>0</x:v>
      </x:c>
      <x:c r="G9" s="3" t="n">
        <x:f>COUNTIFS('CART'!$N$5:$N$29,"Blocked")</x:f>
        <x:v>1</x:v>
      </x:c>
      <x:c r="H9" s="3" t="n">
        <x:f>COUNTIFS('CART'!$N$5:$N$29,"Not run")</x:f>
        <x:v>11</x:v>
      </x:c>
      <x:c r="I9" s="3" t="n">
        <x:f>COUNTIFS('CART'!$N$5:$N$29,"N/A")</x:f>
        <x:v>0</x:v>
      </x:c>
      <x:c r="J9" s="12" t="n">
        <x:f>IF(E9+F9=0,"Chưa chạy",E9/(E9+F9))</x:f>
        <x:v>1</x:v>
      </x:c>
    </x:row>
    <x:row r="10" ht="30" customHeight="1">
      <x:c r="A10" s="3" t="str">
        <x:v>CHK</x:v>
      </x:c>
      <x:c r="B10" s="3" t="str">
        <x:v>Checkout và địa chỉ</x:v>
      </x:c>
      <x:c r="C10" s="3" t="n">
        <x:f>COUNTA('CHK'!$A$5:$A$26)</x:f>
        <x:v>22</x:v>
      </x:c>
      <x:c r="D10" s="3" t="n">
        <x:f>COUNTIFS('CHK'!$C$5:$C$26,"P0")</x:f>
        <x:v>3</x:v>
      </x:c>
      <x:c r="E10" s="3" t="n">
        <x:f>COUNTIFS('CHK'!$N$5:$N$26,"Pass")</x:f>
        <x:v>15</x:v>
      </x:c>
      <x:c r="F10" s="3" t="n">
        <x:f>COUNTIFS('CHK'!$N$5:$N$26,"Fail")</x:f>
        <x:v>0</x:v>
      </x:c>
      <x:c r="G10" s="3" t="n">
        <x:f>COUNTIFS('CHK'!$N$5:$N$26,"Blocked")</x:f>
        <x:v>1</x:v>
      </x:c>
      <x:c r="H10" s="3" t="n">
        <x:f>COUNTIFS('CHK'!$N$5:$N$26,"Not run")</x:f>
        <x:v>6</x:v>
      </x:c>
      <x:c r="I10" s="3" t="n">
        <x:f>COUNTIFS('CHK'!$N$5:$N$26,"N/A")</x:f>
        <x:v>0</x:v>
      </x:c>
      <x:c r="J10" s="12" t="n">
        <x:f>IF(E10+F10=0,"Chưa chạy",E10/(E10+F10))</x:f>
        <x:v>1</x:v>
      </x:c>
    </x:row>
    <x:row r="11" ht="30" customHeight="1">
      <x:c r="A11" s="3" t="str">
        <x:v>PAY</x:v>
      </x:c>
      <x:c r="B11" s="3" t="str">
        <x:v>Thanh toán và trang thành công</x:v>
      </x:c>
      <x:c r="C11" s="3" t="n">
        <x:f>COUNTA('PAY'!$A$5:$A$21)</x:f>
        <x:v>17</x:v>
      </x:c>
      <x:c r="D11" s="3" t="n">
        <x:f>COUNTIFS('PAY'!$C$5:$C$21,"P0")</x:f>
        <x:v>5</x:v>
      </x:c>
      <x:c r="E11" s="3" t="n">
        <x:f>COUNTIFS('PAY'!$N$5:$N$21,"Pass")</x:f>
        <x:v>12</x:v>
      </x:c>
      <x:c r="F11" s="3" t="n">
        <x:f>COUNTIFS('PAY'!$N$5:$N$21,"Fail")</x:f>
        <x:v>0</x:v>
      </x:c>
      <x:c r="G11" s="3" t="n">
        <x:f>COUNTIFS('PAY'!$N$5:$N$21,"Blocked")</x:f>
        <x:v>3</x:v>
      </x:c>
      <x:c r="H11" s="3" t="n">
        <x:f>COUNTIFS('PAY'!$N$5:$N$21,"Not run")</x:f>
        <x:v>2</x:v>
      </x:c>
      <x:c r="I11" s="3" t="n">
        <x:f>COUNTIFS('PAY'!$N$5:$N$21,"N/A")</x:f>
        <x:v>0</x:v>
      </x:c>
      <x:c r="J11" s="12" t="n">
        <x:f>IF(E11+F11=0,"Chưa chạy",E11/(E11+F11))</x:f>
        <x:v>1</x:v>
      </x:c>
    </x:row>
    <x:row r="12" ht="30" customHeight="1">
      <x:c r="A12" s="3" t="str">
        <x:v>QUOTE</x:v>
      </x:c>
      <x:c r="B12" s="3" t="str">
        <x:v>Gửi yêu cầu báo giá từ giỏ</x:v>
      </x:c>
      <x:c r="C12" s="3" t="n">
        <x:f>COUNTA('QUOTE'!$A$5:$A$13)</x:f>
        <x:v>9</x:v>
      </x:c>
      <x:c r="D12" s="3" t="n">
        <x:f>COUNTIFS('QUOTE'!$C$5:$C$13,"P0")</x:f>
        <x:v>2</x:v>
      </x:c>
      <x:c r="E12" s="3" t="n">
        <x:f>COUNTIFS('QUOTE'!$N$5:$N$13,"Pass")</x:f>
        <x:v>2</x:v>
      </x:c>
      <x:c r="F12" s="3" t="n">
        <x:f>COUNTIFS('QUOTE'!$N$5:$N$13,"Fail")</x:f>
        <x:v>0</x:v>
      </x:c>
      <x:c r="G12" s="3" t="n">
        <x:f>COUNTIFS('QUOTE'!$N$5:$N$13,"Blocked")</x:f>
        <x:v>1</x:v>
      </x:c>
      <x:c r="H12" s="3" t="n">
        <x:f>COUNTIFS('QUOTE'!$N$5:$N$13,"Not run")</x:f>
        <x:v>6</x:v>
      </x:c>
      <x:c r="I12" s="3" t="n">
        <x:f>COUNTIFS('QUOTE'!$N$5:$N$13,"N/A")</x:f>
        <x:v>0</x:v>
      </x:c>
      <x:c r="J12" s="12" t="n">
        <x:f>IF(E12+F12=0,"Chưa chạy",E12/(E12+F12))</x:f>
        <x:v>1</x:v>
      </x:c>
    </x:row>
    <x:row r="13" ht="30" customHeight="1">
      <x:c r="A13" s="3" t="str">
        <x:v>ORD</x:v>
      </x:c>
      <x:c r="B13" s="3" t="str">
        <x:v>Đơn hàng</x:v>
      </x:c>
      <x:c r="C13" s="3" t="n">
        <x:f>COUNTA('ORD'!$A$5:$A$19)</x:f>
        <x:v>15</x:v>
      </x:c>
      <x:c r="D13" s="3" t="n">
        <x:f>COUNTIFS('ORD'!$C$5:$C$19,"P0")</x:f>
        <x:v>4</x:v>
      </x:c>
      <x:c r="E13" s="3" t="n">
        <x:f>COUNTIFS('ORD'!$N$5:$N$19,"Pass")</x:f>
        <x:v>1</x:v>
      </x:c>
      <x:c r="F13" s="3" t="n">
        <x:f>COUNTIFS('ORD'!$N$5:$N$19,"Fail")</x:f>
        <x:v>0</x:v>
      </x:c>
      <x:c r="G13" s="3" t="n">
        <x:f>COUNTIFS('ORD'!$N$5:$N$19,"Blocked")</x:f>
        <x:v>1</x:v>
      </x:c>
      <x:c r="H13" s="3" t="n">
        <x:f>COUNTIFS('ORD'!$N$5:$N$19,"Not run")</x:f>
        <x:v>13</x:v>
      </x:c>
      <x:c r="I13" s="3" t="n">
        <x:f>COUNTIFS('ORD'!$N$5:$N$19,"N/A")</x:f>
        <x:v>0</x:v>
      </x:c>
      <x:c r="J13" s="12" t="n">
        <x:f>IF(E13+F13=0,"Chưa chạy",E13/(E13+F13))</x:f>
        <x:v>1</x:v>
      </x:c>
    </x:row>
    <x:row r="14" ht="30" customHeight="1">
      <x:c r="A14" s="3" t="str">
        <x:v>RFQ</x:v>
      </x:c>
      <x:c r="B14" s="3" t="str">
        <x:v>Danh sách và chi tiết RFQ</x:v>
      </x:c>
      <x:c r="C14" s="3" t="n">
        <x:f>COUNTA('RFQ'!$A$5:$A$18)</x:f>
        <x:v>14</x:v>
      </x:c>
      <x:c r="D14" s="3" t="n">
        <x:f>COUNTIFS('RFQ'!$C$5:$C$18,"P0")</x:f>
        <x:v>4</x:v>
      </x:c>
      <x:c r="E14" s="3" t="n">
        <x:f>COUNTIFS('RFQ'!$N$5:$N$18,"Pass")</x:f>
        <x:v>1</x:v>
      </x:c>
      <x:c r="F14" s="3" t="n">
        <x:f>COUNTIFS('RFQ'!$N$5:$N$18,"Fail")</x:f>
        <x:v>0</x:v>
      </x:c>
      <x:c r="G14" s="3" t="n">
        <x:f>COUNTIFS('RFQ'!$N$5:$N$18,"Blocked")</x:f>
        <x:v>1</x:v>
      </x:c>
      <x:c r="H14" s="3" t="n">
        <x:f>COUNTIFS('RFQ'!$N$5:$N$18,"Not run")</x:f>
        <x:v>12</x:v>
      </x:c>
      <x:c r="I14" s="3" t="n">
        <x:f>COUNTIFS('RFQ'!$N$5:$N$18,"N/A")</x:f>
        <x:v>0</x:v>
      </x:c>
      <x:c r="J14" s="12" t="n">
        <x:f>IF(E14+F14=0,"Chưa chạy",E14/(E14+F14))</x:f>
        <x:v>1</x:v>
      </x:c>
    </x:row>
    <x:row r="15" ht="30" customHeight="1">
      <x:c r="A15" s="3" t="str">
        <x:v>PRO</x:v>
      </x:c>
      <x:c r="B15" s="3" t="str">
        <x:v>Hồ sơ, bảo mật và avatar</x:v>
      </x:c>
      <x:c r="C15" s="3" t="n">
        <x:f>COUNTA('PRO'!$A$5:$A$58)</x:f>
        <x:v>54</x:v>
      </x:c>
      <x:c r="D15" s="3" t="n">
        <x:f>COUNTIFS('PRO'!$C$5:$C$58,"P0")</x:f>
        <x:v>1</x:v>
      </x:c>
      <x:c r="E15" s="3" t="n">
        <x:f>COUNTIFS('PRO'!$N$5:$N$58,"Pass")</x:f>
        <x:v>45</x:v>
      </x:c>
      <x:c r="F15" s="3" t="n">
        <x:f>COUNTIFS('PRO'!$N$5:$N$58,"Fail")</x:f>
        <x:v>0</x:v>
      </x:c>
      <x:c r="G15" s="3" t="n">
        <x:f>COUNTIFS('PRO'!$N$5:$N$58,"Blocked")</x:f>
        <x:v>1</x:v>
      </x:c>
      <x:c r="H15" s="3" t="n">
        <x:f>COUNTIFS('PRO'!$N$5:$N$58,"Not run")</x:f>
        <x:v>8</x:v>
      </x:c>
      <x:c r="I15" s="3" t="n">
        <x:f>COUNTIFS('PRO'!$N$5:$N$58,"N/A")</x:f>
        <x:v>0</x:v>
      </x:c>
      <x:c r="J15" s="12" t="n">
        <x:f>IF(E15+F15=0,"Chưa chạy",E15/(E15+F15))</x:f>
        <x:v>1</x:v>
      </x:c>
    </x:row>
    <x:row r="16" ht="30" customHeight="1">
      <x:c r="A16" s="3" t="str">
        <x:v>CON</x:v>
      </x:c>
      <x:c r="B16" s="3" t="str">
        <x:v>Liên hệ và báo giá nhập tay</x:v>
      </x:c>
      <x:c r="C16" s="3" t="n">
        <x:f>COUNTA('CON'!$A$5:$A$26)</x:f>
        <x:v>22</x:v>
      </x:c>
      <x:c r="D16" s="3" t="n">
        <x:f>COUNTIFS('CON'!$C$5:$C$26,"P0")</x:f>
        <x:v>1</x:v>
      </x:c>
      <x:c r="E16" s="3" t="n">
        <x:f>COUNTIFS('CON'!$N$5:$N$26,"Pass")</x:f>
        <x:v>11</x:v>
      </x:c>
      <x:c r="F16" s="3" t="n">
        <x:f>COUNTIFS('CON'!$N$5:$N$26,"Fail")</x:f>
        <x:v>0</x:v>
      </x:c>
      <x:c r="G16" s="3" t="n">
        <x:f>COUNTIFS('CON'!$N$5:$N$26,"Blocked")</x:f>
        <x:v>3</x:v>
      </x:c>
      <x:c r="H16" s="3" t="n">
        <x:f>COUNTIFS('CON'!$N$5:$N$26,"Not run")</x:f>
        <x:v>8</x:v>
      </x:c>
      <x:c r="I16" s="3" t="n">
        <x:f>COUNTIFS('CON'!$N$5:$N$26,"N/A")</x:f>
        <x:v>0</x:v>
      </x:c>
      <x:c r="J16" s="12" t="n">
        <x:f>IF(E16+F16=0,"Chưa chạy",E16/(E16+F16))</x:f>
        <x:v>1</x:v>
      </x:c>
    </x:row>
    <x:row r="17" ht="30" customHeight="1">
      <x:c r="A17" s="3" t="str">
        <x:v>CMS</x:v>
      </x:c>
      <x:c r="B17" s="3" t="str">
        <x:v>Tin tức, giới thiệu và tài liệu pháp lý</x:v>
      </x:c>
      <x:c r="C17" s="3" t="n">
        <x:f>COUNTA('CMS'!$A$5:$A$17)</x:f>
        <x:v>13</x:v>
      </x:c>
      <x:c r="D17" s="3" t="n">
        <x:f>COUNTIFS('CMS'!$C$5:$C$17,"P0")</x:f>
        <x:v>0</x:v>
      </x:c>
      <x:c r="E17" s="3" t="n">
        <x:f>COUNTIFS('CMS'!$N$5:$N$17,"Pass")</x:f>
        <x:v>4</x:v>
      </x:c>
      <x:c r="F17" s="3" t="n">
        <x:f>COUNTIFS('CMS'!$N$5:$N$17,"Fail")</x:f>
        <x:v>0</x:v>
      </x:c>
      <x:c r="G17" s="3" t="n">
        <x:f>COUNTIFS('CMS'!$N$5:$N$17,"Blocked")</x:f>
        <x:v>4</x:v>
      </x:c>
      <x:c r="H17" s="3" t="n">
        <x:f>COUNTIFS('CMS'!$N$5:$N$17,"Not run")</x:f>
        <x:v>5</x:v>
      </x:c>
      <x:c r="I17" s="3" t="n">
        <x:f>COUNTIFS('CMS'!$N$5:$N$17,"N/A")</x:f>
        <x:v>0</x:v>
      </x:c>
      <x:c r="J17" s="12" t="n">
        <x:f>IF(E17+F17=0,"Chưa chạy",E17/(E17+F17))</x:f>
        <x:v>1</x:v>
      </x:c>
    </x:row>
    <x:row r="18" ht="30" customHeight="1">
      <x:c r="A18" s="3" t="str">
        <x:v>UI</x:v>
      </x:c>
      <x:c r="B18" s="3" t="str">
        <x:v>Thành phần dùng chung và carousel</x:v>
      </x:c>
      <x:c r="C18" s="3" t="n">
        <x:f>COUNTA('UI'!$A$5:$A$28)</x:f>
        <x:v>24</x:v>
      </x:c>
      <x:c r="D18" s="3" t="n">
        <x:f>COUNTIFS('UI'!$C$5:$C$28,"P0")</x:f>
        <x:v>0</x:v>
      </x:c>
      <x:c r="E18" s="3" t="n">
        <x:f>COUNTIFS('UI'!$N$5:$N$28,"Pass")</x:f>
        <x:v>12</x:v>
      </x:c>
      <x:c r="F18" s="3" t="n">
        <x:f>COUNTIFS('UI'!$N$5:$N$28,"Fail")</x:f>
        <x:v>0</x:v>
      </x:c>
      <x:c r="G18" s="3" t="n">
        <x:f>COUNTIFS('UI'!$N$5:$N$28,"Blocked")</x:f>
        <x:v>5</x:v>
      </x:c>
      <x:c r="H18" s="3" t="n">
        <x:f>COUNTIFS('UI'!$N$5:$N$28,"Not run")</x:f>
        <x:v>7</x:v>
      </x:c>
      <x:c r="I18" s="3" t="n">
        <x:f>COUNTIFS('UI'!$N$5:$N$28,"N/A")</x:f>
        <x:v>0</x:v>
      </x:c>
      <x:c r="J18" s="12" t="n">
        <x:f>IF(E18+F18=0,"Chưa chạy",E18/(E18+F18))</x:f>
        <x:v>1</x:v>
      </x:c>
    </x:row>
    <x:row r="19" ht="30" customHeight="1">
      <x:c r="A19" s="3" t="str">
        <x:v>SYS</x:v>
      </x:c>
      <x:c r="B19" s="3" t="str">
        <x:v>HTTP, session, cache và độ tin cậy</x:v>
      </x:c>
      <x:c r="C19" s="3" t="n">
        <x:f>COUNTA('SYS'!$A$5:$A$28)</x:f>
        <x:v>24</x:v>
      </x:c>
      <x:c r="D19" s="3" t="n">
        <x:f>COUNTIFS('SYS'!$C$5:$C$28,"P0")</x:f>
        <x:v>8</x:v>
      </x:c>
      <x:c r="E19" s="3" t="n">
        <x:f>COUNTIFS('SYS'!$N$5:$N$28,"Pass")</x:f>
        <x:v>10</x:v>
      </x:c>
      <x:c r="F19" s="3" t="n">
        <x:f>COUNTIFS('SYS'!$N$5:$N$28,"Fail")</x:f>
        <x:v>0</x:v>
      </x:c>
      <x:c r="G19" s="3" t="n">
        <x:f>COUNTIFS('SYS'!$N$5:$N$28,"Blocked")</x:f>
        <x:v>3</x:v>
      </x:c>
      <x:c r="H19" s="3" t="n">
        <x:f>COUNTIFS('SYS'!$N$5:$N$28,"Not run")</x:f>
        <x:v>11</x:v>
      </x:c>
      <x:c r="I19" s="3" t="n">
        <x:f>COUNTIFS('SYS'!$N$5:$N$28,"N/A")</x:f>
        <x:v>0</x:v>
      </x:c>
      <x:c r="J19" s="12" t="n">
        <x:f>IF(E19+F19=0,"Chưa chạy",E19/(E19+F19))</x:f>
        <x:v>1</x:v>
      </x:c>
    </x:row>
    <x:row r="20" ht="30" customHeight="1">
      <x:c r="A20" s="3" t="str">
        <x:v>LOC</x:v>
      </x:c>
      <x:c r="B20" s="3" t="str">
        <x:v>Ngôn ngữ và routing</x:v>
      </x:c>
      <x:c r="C20" s="3" t="n">
        <x:f>COUNTA('LOC'!$A$5:$A$12)</x:f>
        <x:v>8</x:v>
      </x:c>
      <x:c r="D20" s="3" t="n">
        <x:f>COUNTIFS('LOC'!$C$5:$C$12,"P0")</x:f>
        <x:v>0</x:v>
      </x:c>
      <x:c r="E20" s="3" t="n">
        <x:f>COUNTIFS('LOC'!$N$5:$N$12,"Pass")</x:f>
        <x:v>3</x:v>
      </x:c>
      <x:c r="F20" s="3" t="n">
        <x:f>COUNTIFS('LOC'!$N$5:$N$12,"Fail")</x:f>
        <x:v>0</x:v>
      </x:c>
      <x:c r="G20" s="3" t="n">
        <x:f>COUNTIFS('LOC'!$N$5:$N$12,"Blocked")</x:f>
        <x:v>2</x:v>
      </x:c>
      <x:c r="H20" s="3" t="n">
        <x:f>COUNTIFS('LOC'!$N$5:$N$12,"Not run")</x:f>
        <x:v>3</x:v>
      </x:c>
      <x:c r="I20" s="3" t="n">
        <x:f>COUNTIFS('LOC'!$N$5:$N$12,"N/A")</x:f>
        <x:v>0</x:v>
      </x:c>
      <x:c r="J20" s="12" t="n">
        <x:f>IF(E20+F20=0,"Chưa chạy",E20/(E20+F20))</x:f>
        <x:v>1</x:v>
      </x:c>
    </x:row>
    <x:row r="21" ht="30" customHeight="1">
      <x:c r="A21" s="3" t="str">
        <x:v>SEO</x:v>
      </x:c>
      <x:c r="B21" s="3" t="str">
        <x:v>Metadata và khả năng index</x:v>
      </x:c>
      <x:c r="C21" s="3" t="n">
        <x:f>COUNTA('SEO'!$A$5:$A$12)</x:f>
        <x:v>8</x:v>
      </x:c>
      <x:c r="D21" s="3" t="n">
        <x:f>COUNTIFS('SEO'!$C$5:$C$12,"P0")</x:f>
        <x:v>0</x:v>
      </x:c>
      <x:c r="E21" s="3" t="n">
        <x:f>COUNTIFS('SEO'!$N$5:$N$12,"Pass")</x:f>
        <x:v>7</x:v>
      </x:c>
      <x:c r="F21" s="3" t="n">
        <x:f>COUNTIFS('SEO'!$N$5:$N$12,"Fail")</x:f>
        <x:v>0</x:v>
      </x:c>
      <x:c r="G21" s="3" t="n">
        <x:f>COUNTIFS('SEO'!$N$5:$N$12,"Blocked")</x:f>
        <x:v>0</x:v>
      </x:c>
      <x:c r="H21" s="3" t="n">
        <x:f>COUNTIFS('SEO'!$N$5:$N$12,"Not run")</x:f>
        <x:v>1</x:v>
      </x:c>
      <x:c r="I21" s="3" t="n">
        <x:f>COUNTIFS('SEO'!$N$5:$N$12,"N/A")</x:f>
        <x:v>0</x:v>
      </x:c>
      <x:c r="J21" s="12" t="n">
        <x:f>IF(E21+F21=0,"Chưa chạy",E21/(E21+F21))</x:f>
        <x:v>1</x:v>
      </x:c>
    </x:row>
    <x:row r="22" ht="30" customHeight="1">
      <x:c r="A22" s="3" t="str">
        <x:v>E2E</x:v>
      </x:c>
      <x:c r="B22" s="3" t="str">
        <x:v>Hành trình xuyên module</x:v>
      </x:c>
      <x:c r="C22" s="3" t="n">
        <x:f>COUNTA('E2E'!$A$5:$A$13)</x:f>
        <x:v>9</x:v>
      </x:c>
      <x:c r="D22" s="3" t="n">
        <x:f>COUNTIFS('E2E'!$C$5:$C$13,"P0")</x:f>
        <x:v>7</x:v>
      </x:c>
      <x:c r="E22" s="3" t="n">
        <x:f>COUNTIFS('E2E'!$N$5:$N$13,"Pass")</x:f>
        <x:v>0</x:v>
      </x:c>
      <x:c r="F22" s="3" t="n">
        <x:f>COUNTIFS('E2E'!$N$5:$N$13,"Fail")</x:f>
        <x:v>0</x:v>
      </x:c>
      <x:c r="G22" s="3" t="n">
        <x:f>COUNTIFS('E2E'!$N$5:$N$13,"Blocked")</x:f>
        <x:v>9</x:v>
      </x:c>
      <x:c r="H22" s="3" t="n">
        <x:f>COUNTIFS('E2E'!$N$5:$N$13,"Not run")</x:f>
        <x:v>0</x:v>
      </x:c>
      <x:c r="I22" s="3" t="n">
        <x:f>COUNTIFS('E2E'!$N$5:$N$13,"N/A")</x:f>
        <x:v>0</x:v>
      </x:c>
      <x:c r="J22" s="12" t="str">
        <x:f>IF(E22+F22=0,"Chưa chạy",E22/(E22+F22))</x:f>
        <x:v>Chưa chạy</x:v>
      </x:c>
    </x:row>
    <x:row r="23" ht="30" customHeight="1">
      <x:c r="A23" s="15" t="str">
        <x:v>Tổng</x:v>
      </x:c>
      <x:c r="B23" s="15" t="str"/>
      <x:c r="C23" s="15" t="n">
        <x:f>SUM(C5:C22)</x:f>
        <x:v>390</x:v>
      </x:c>
      <x:c r="D23" s="15" t="n">
        <x:f>SUM(D5:D22)</x:f>
        <x:v>50</x:v>
      </x:c>
      <x:c r="E23" s="15" t="n">
        <x:f>SUM(E5:E22)</x:f>
        <x:v>205</x:v>
      </x:c>
      <x:c r="F23" s="15" t="n">
        <x:f>SUM(F5:F22)</x:f>
        <x:v>0</x:v>
      </x:c>
      <x:c r="G23" s="15" t="n">
        <x:f>SUM(G5:G22)</x:f>
        <x:v>42</x:v>
      </x:c>
      <x:c r="H23" s="15" t="n">
        <x:f>SUM(H5:H22)</x:f>
        <x:v>143</x:v>
      </x:c>
      <x:c r="I23" s="15" t="n">
        <x:f>SUM(I5:I22)</x:f>
        <x:v>0</x:v>
      </x:c>
      <x:c r="J23" s="16" t="n">
        <x:f>IF(E23+F23=0,"Chưa chạy",E23/(E23+F23))</x:f>
        <x:v>1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52" customHeight="1">
      <x:c r="A26" s="17" t="str">
        <x:v>Tình trạng</x:v>
      </x:c>
      <x:c r="B26" s="3" t="str">
        <x:v>205 Pass; 0 Fail; 42 Blocked; 143 Not run trong 390 ca. Not run gồm 65 ca mới kiểm chứng một phần và 78 ca chưa đủ bằng chứng.</x:v>
      </x:c>
      <x:c r="C26" s="3"/>
      <x:c r="D26" s="3"/>
      <x:c r="E26" s="3"/>
      <x:c r="F26" s="3"/>
      <x:c r="G26" s="3"/>
      <x:c r="H26" s="3"/>
      <x:c r="I26" s="3"/>
      <x:c r="J26" s="3"/>
    </x:row>
    <x:row r="27" ht="52" customHeight="1">
      <x:c r="A27" s="17" t="str">
        <x:v>Cách dùng</x:v>
      </x:c>
      <x:c r="B27" s="3" t="str">
        <x:v>Lọc status trong module; đọc Actual ở O và bằng chứng ở P. Not run không được xem là đã hoàn tất chỉ vì test liên quan đã pass.</x:v>
      </x:c>
      <x:c r="C27" s="3"/>
      <x:c r="D27" s="3"/>
      <x:c r="E27" s="3"/>
      <x:c r="F27" s="3"/>
      <x:c r="G27" s="3"/>
      <x:c r="H27" s="3"/>
      <x:c r="I27" s="3"/>
      <x:c r="J27" s="3"/>
    </x:row>
    <x:row r="28" ht="32" customHeight="1">
      <x:c r="A28" s="17" t="str">
        <x:v>Màu vàng</x:v>
      </x:c>
      <x:c r="B28" s="3" t="str">
        <x:v>Các cột nhập kết quả. Pass/Fail/Blocked/Not run/N/A có dropdown. Run date nhập ngày thật.</x:v>
      </x:c>
      <x:c r="C28" s="3"/>
      <x:c r="D28" s="3"/>
      <x:c r="E28" s="3"/>
      <x:c r="F28" s="3"/>
      <x:c r="G28" s="3"/>
      <x:c r="H28" s="3"/>
      <x:c r="I28" s="3"/>
      <x:c r="J28" s="3"/>
    </x:row>
    <x:row r="29" ht="32" customHeight="1">
      <x:c r="A29" s="17" t="str">
        <x:v>Phạm vi</x:v>
      </x:c>
      <x:c r="B29" s="3" t="str">
        <x:v>13 feature và phần dùng chung; 18 nhóm kiểm thử. Dữ liệu là fixture đề xuất, chưa seed sandbox.</x:v>
      </x:c>
      <x:c r="C29" s="3"/>
      <x:c r="D29" s="3"/>
      <x:c r="E29" s="3"/>
      <x:c r="F29" s="3"/>
      <x:c r="G29" s="3"/>
      <x:c r="H29" s="3"/>
      <x:c r="I29" s="3"/>
      <x:c r="J29" s="3"/>
    </x:row>
    <x:row r="30" ht="52" customHeight="1">
      <x:c r="A30" s="17" t="str">
        <x:v>Điểm chặn</x:v>
      </x:c>
      <x:c r="B30" s="3" t="str">
        <x:v>Checkout/payment/quote/contact submit vẫn mock local. Chưa xác nhận giao dịch, persistence, email, OTP và phân quyền thật; cần API contract và sandbox.</x:v>
      </x:c>
      <x:c r="C30" s="3"/>
      <x:c r="D30" s="3"/>
      <x:c r="E30" s="3"/>
      <x:c r="F30" s="3"/>
      <x:c r="G30" s="3"/>
      <x:c r="H30" s="3"/>
      <x:c r="I30" s="3"/>
      <x:c r="J30" s="3"/>
    </x:row>
    <x:row r="31" ht="52" customHeight="1">
      <x:c r="A31" s="17" t="str">
        <x:v>Nguồn</x:v>
      </x:c>
      <x:c r="B31" s="3" t="str">
        <x:v>Source map và Baseline giữ snapshot thiết kế trước sửa lỗi. execution/current-source.json ghi hash source sau sửa; bản build QA dùng source copy riêng để không xung đột server dev.</x:v>
      </x:c>
      <x:c r="C31" s="3"/>
      <x:c r="D31" s="3"/>
      <x:c r="E31" s="3"/>
      <x:c r="F31" s="3"/>
      <x:c r="G31" s="3"/>
      <x:c r="H31" s="3"/>
      <x:c r="I31" s="3"/>
      <x:c r="J31" s="3"/>
    </x:row>
    <x:row r="32" ht="52" customHeight="1">
      <x:c r="A32" s="17" t="str">
        <x:v>Baseline</x:v>
      </x:c>
      <x:c r="B32" s="3" t="str">
        <x:v>Baseline cũ: 204/212 test pass. Đợt hiện tại: 377/377 assertion pass trong 78 file, 0 failed suite; xem execution/README.md.</x:v>
      </x:c>
      <x:c r="C32" s="3"/>
      <x:c r="D32" s="3"/>
      <x:c r="E32" s="3"/>
      <x:c r="F32" s="3"/>
      <x:c r="G32" s="3"/>
      <x:c r="H32" s="3"/>
      <x:c r="I32" s="3"/>
      <x:c r="J32" s="3"/>
    </x:row>
    <x:row r="33" ht="52" customHeight="1">
      <x:c r="A33" s="17" t="str">
        <x:v>Pass rate</x:v>
      </x:c>
      <x:c r="B33" s="3" t="str">
        <x:v>Pass/(Pass+Fail) chỉ tính ca đã đủ bằng chứng; không phải tỷ lệ hoàn tất 390 ca. Blocked, Not run và các ca mới kiểm chứng một phần phải được đọc riêng.</x:v>
      </x:c>
      <x:c r="C33" s="3"/>
      <x:c r="D33" s="3"/>
      <x:c r="E33" s="3"/>
      <x:c r="F33" s="3"/>
      <x:c r="G33" s="3"/>
      <x:c r="H33" s="3"/>
      <x:c r="I33" s="3"/>
      <x:c r="J33" s="3"/>
    </x:row>
    <x:row r="34" ht="32" customHeight="1">
      <x:c r="A34" s="17" t="str">
        <x:v>Quyết định</x:v>
      </x:c>
      <x:c r="B34" s="3" t="str">
        <x:v>Decision required cần PO/backend chốt expected. Quality/Security target có thể chưa được source đáp ứng.</x:v>
      </x:c>
      <x:c r="C34" s="3"/>
      <x:c r="D34" s="3"/>
      <x:c r="E34" s="3"/>
      <x:c r="F34" s="3"/>
      <x:c r="G34" s="3"/>
      <x:c r="H34" s="3"/>
      <x:c r="I34" s="3"/>
      <x:c r="J34" s="3"/>
    </x:row>
    <x:row r="35" ht="52" customHeight="1">
      <x:c r="A35" s="17" t="str">
        <x:v>Smoke</x:v>
      </x:c>
      <x:c r="B35" s="3" t="str">
        <x:v>Các journey P0 cần backend/OTP/authorization thật vẫn Blocked. Browser fixture và test service spy không thay kiểm thử giao dịch thật.</x:v>
      </x:c>
      <x:c r="C35" s="3"/>
      <x:c r="D35" s="3"/>
      <x:c r="E35" s="3"/>
      <x:c r="F35" s="3"/>
      <x:c r="G35" s="3"/>
      <x:c r="H35" s="3"/>
      <x:c r="I35" s="3"/>
      <x:c r="J35" s="3"/>
    </x:row>
    <x:row r="36" ht="52" customHeight="1">
      <x:c r="A36" s="17" t="str">
        <x:v>Môi trường</x:v>
      </x:c>
      <x:c r="B36" s="3" t="str">
        <x:v>Local macOS arm64; Next.js 15.5.23; Chromium 153.0.8010.12; 17/17 browser checks pass. API synthetic local, build production riêng trong /tmp.</x:v>
      </x:c>
      <x:c r="C36" s="3"/>
      <x:c r="D36" s="3"/>
      <x:c r="E36" s="3"/>
      <x:c r="F36" s="3"/>
      <x:c r="G36" s="3"/>
      <x:c r="H36" s="3"/>
      <x:c r="I36" s="3"/>
      <x:c r="J36" s="3"/>
    </x:row>
    <x:row r="37" ht="52" customHeight="1">
      <x:c r="A37" s="17" t="str">
        <x:v>Evidence</x:v>
      </x:c>
      <x:c r="B37" s="3" t="str">
        <x:v>execution/README.md: báo cáo; results.json và case-results.md: 390 ca; assertions.json: từng assertion; browser-results.json: từng browser check.</x:v>
      </x:c>
      <x:c r="C37" s="3"/>
      <x:c r="D37" s="3"/>
      <x:c r="E37" s="3"/>
      <x:c r="F37" s="3"/>
      <x:c r="G37" s="3"/>
      <x:c r="H37" s="3"/>
      <x:c r="I37" s="3"/>
      <x:c r="J37" s="3"/>
    </x:row>
    <x:row r="38" ht="52" customHeight="1">
      <x:c r="A38" s="17" t="str">
        <x:v>Automation</x:v>
      </x:c>
      <x:c r="B38" s="3" t="str">
        <x:v>377 assertions tự động và 17 browser checks không ánh xạ 1:1 với 390 test case. Chỉ gán Pass khi đủ bằng chứng tương ứng; phần còn thiếu ghi ở Actual.</x:v>
      </x:c>
      <x:c r="C38" s="3"/>
      <x:c r="D38" s="3"/>
      <x:c r="E38" s="3"/>
      <x:c r="F38" s="3"/>
      <x:c r="G38" s="3"/>
      <x:c r="H38" s="3"/>
      <x:c r="I38" s="3"/>
      <x:c r="J38" s="3"/>
    </x:row>
    <x:row r="39" ht="52" customHeight="1">
      <x:c r="A39" s="17" t="str">
        <x:v>Ngày rà soát</x:v>
      </x:c>
      <x:c r="B39" s="3" t="str">
        <x:v>18/10/2026, Asia/Ho_Chi_Minh. Đã sửa các lỗi tái hiện ở frontend; chưa commit/push và chưa chạy E2E trên backend thật.</x:v>
      </x:c>
      <x:c r="C39" s="3"/>
      <x:c r="D39" s="3"/>
      <x:c r="E39" s="3"/>
      <x:c r="F39" s="3"/>
      <x:c r="G39" s="3"/>
      <x:c r="H39" s="3"/>
      <x:c r="I39" s="3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</x:sheetData>
  <x:mergeCells>
    <x:mergeCell ref="B26:J26"/>
    <x:mergeCell ref="B27:J27"/>
    <x:mergeCell ref="B28:J28"/>
    <x:mergeCell ref="B29:J29"/>
    <x:mergeCell ref="B30:J30"/>
    <x:mergeCell ref="B31:J31"/>
    <x:mergeCell ref="B32:J32"/>
    <x:mergeCell ref="B33:J33"/>
    <x:mergeCell ref="B34:J34"/>
    <x:mergeCell ref="B35:J35"/>
    <x:mergeCell ref="B36:J36"/>
    <x:mergeCell ref="B37:J37"/>
    <x:mergeCell ref="B38:J38"/>
    <x:mergeCell ref="B39:J39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AUTH — Xác thực và OTP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AUTH-001</x:v>
      </x:c>
      <x:c r="B5" s="3" t="str">
        <x:v>Đăng nhập hợp lệ</x:v>
      </x:c>
      <x:c r="C5" s="3" t="str">
        <x:v>P0</x:v>
      </x:c>
      <x:c r="D5" s="3" t="str">
        <x:v>AUTH.LOGIN</x:v>
      </x:c>
      <x:c r="E5" s="3" t="str">
        <x:v>Functional</x:v>
      </x:c>
      <x:c r="F5" s="3" t="str">
        <x:v>E2E</x:v>
      </x:c>
      <x:c r="G5" s="3" t="str">
        <x:v>Source</x:v>
      </x:c>
      <x:c r="H5" s="3" t="str">
        <x:v>Phiên sạch (guest); locale en, lặp luồng chính ở vi; fixture DS-AUTH; mock service/API trong test frontend; email và OTP sandbox khi chạy E2E.</x:v>
      </x:c>
      <x:c r="I5" s="3" t="str">
        <x:v>DS-AUTH.A</x:v>
      </x:c>
      <x:c r="J5" s="3" t="str">
        <x:v>1. Mở /login.
2. Nhập email và mật khẩu hợp lệ.
3. Chọn Log in.</x:v>
      </x:c>
      <x:c r="K5" s="3" t="str">
        <x:v>POST /auth/login gửi đúng email/password; lưu phiên từ response hợp lệ; điều hướng Home và header hiển thị người dùng.</x:v>
      </x:c>
      <x:c r="L5" s="3" t="str">
        <x:v>src/features/auth/components/login-form.tsx:19
src/features/auth/api/auth.service.ts:31
src/features/auth/schemas/login.schema.ts:3</x:v>
      </x:c>
      <x:c r="M5" s="3" t="str">
        <x:v>Đề xuất E2E | Test liên quan, chưa xác nhận phủ ca: src/features/auth/components/login-form.test.tsx, src/features/auth/api/auth.service.test.ts</x:v>
      </x:c>
      <x:c r="N5" s="10" t="str">
        <x:v>Blocked</x:v>
      </x:c>
      <x:c r="O5" s="10" t="str">
        <x:v>Chưa có sandbox URL/tài khoản A–B, OTP/email và quyền chạy giao dịch thật. Luồng local dùng spy/fixture chỉ xác minh frontend, không chứng minh E2E thật.</x:v>
      </x:c>
      <x:c r="P5" s="10" t="str">
        <x:v>execution/results.json → AUTH-001
execution/assertions.json</x:v>
      </x:c>
      <x:c r="Q5" s="10" t="str">
        <x:v>Codex — local automated QA</x:v>
      </x:c>
      <x:c r="R5" s="11"/>
    </x:row>
    <x:row r="6" ht="94" customHeight="1">
      <x:c r="A6" s="3" t="str">
        <x:v>AUTH-002</x:v>
      </x:c>
      <x:c r="B6" s="3" t="str">
        <x:v>Trim email, giữ nguyên mật khẩu</x:v>
      </x:c>
      <x:c r="C6" s="3" t="str">
        <x:v>P1</x:v>
      </x:c>
      <x:c r="D6" s="3" t="str">
        <x:v>AUTH.LOGIN</x:v>
      </x:c>
      <x:c r="E6" s="3" t="str">
        <x:v>Functional</x:v>
      </x:c>
      <x:c r="F6" s="3" t="str">
        <x:v>Unit + Integration</x:v>
      </x:c>
      <x:c r="G6" s="3" t="str">
        <x:v>Source</x:v>
      </x:c>
      <x:c r="H6" s="3" t="str">
        <x:v>Phiên sạch (guest); locale en, lặp luồng chính ở vi; fixture DS-AUTH; mock service/API trong test frontend; email và OTP sandbox khi chạy E2E.</x:v>
      </x:c>
      <x:c r="I6" s="3" t="str">
        <x:v>email="  qa.a@example.test  "; password=" Passw0rd! "</x:v>
      </x:c>
      <x:c r="J6" s="3" t="str">
        <x:v>1. Nhập dữ liệu.
2. Submit và đọc request.</x:v>
      </x:c>
      <x:c r="K6" s="3" t="str">
        <x:v>Email gửi là qa.a@example.test; mật khẩu giữ nguyên khoảng trắng, không tự trim.</x:v>
      </x:c>
      <x:c r="L6" s="3" t="str">
        <x:v>src/features/auth/components/login-form.tsx:19
src/features/auth/api/auth.service.ts:31
src/features/auth/schemas/login.schema.ts:3</x:v>
      </x:c>
      <x:c r="M6" s="3" t="str">
        <x:v>Đề xuất Unit + Integration | Test liên quan, chưa xác nhận phủ ca: src/features/auth/components/login-form.test.tsx, src/features/auth/api/auth.service.test.ts</x:v>
      </x:c>
      <x:c r="N6" s="10" t="str">
        <x:v>Not run</x:v>
      </x:c>
      <x:c r="O6" s="10" t="str">
        <x:v>Chưa thực thi đầy đủ các bước/expected của ca. Các test liên quan đã chạy, nhưng chưa có assertion đủ để gán Pass.</x:v>
      </x:c>
      <x:c r="P6" s="10" t="str">
        <x:v>execution/results.json → AUTH-002
execution/assertions.json</x:v>
      </x:c>
      <x:c r="Q6" s="10" t="str"/>
      <x:c r="R6" s="11"/>
    </x:row>
    <x:row r="7" ht="94" customHeight="1">
      <x:c r="A7" s="3" t="str">
        <x:v>AUTH-003</x:v>
      </x:c>
      <x:c r="B7" s="3" t="str">
        <x:v>email: rỗng</x:v>
      </x:c>
      <x:c r="C7" s="3" t="str">
        <x:v>P1</x:v>
      </x:c>
      <x:c r="D7" s="3" t="str">
        <x:v>AUTH.LOGIN</x:v>
      </x:c>
      <x:c r="E7" s="3" t="str">
        <x:v>Boundary</x:v>
      </x:c>
      <x:c r="F7" s="3" t="str">
        <x:v>Unit + Integration</x:v>
      </x:c>
      <x:c r="G7" s="3" t="str">
        <x:v>Source</x:v>
      </x:c>
      <x:c r="H7" s="3" t="str">
        <x:v>Phiên sạch (guest); locale en, lặp luồng chính ở vi; fixture DS-AUTH; mock service/API trong test frontend; email và OTP sandbox khi chạy E2E.</x:v>
      </x:c>
      <x:c r="I7" s="3" t="str">
        <x:v>password=Passw0rd!; email=""</x:v>
      </x:c>
      <x:c r="J7" s="3" t="str">
        <x:v>1. Khôi phục bộ dữ liệu hợp lệ.
2. Chỉ thay email bằng giá trị nêu trong dữ liệu.
3. Submit và quan sát lỗi cùng lời gọi service.</x:v>
      </x:c>
      <x:c r="K7" s="3" t="str">
        <x:v>Báo lỗi tại email; không gửi mutation khi giá trị chưa hợp lệ.</x:v>
      </x:c>
      <x:c r="L7" s="3" t="str">
        <x:v>src/features/auth/schemas/login.schema.ts:3</x:v>
      </x:c>
      <x:c r="M7" s="3" t="str">
        <x:v>Đề xuất Unit + Integration | Test liên quan, chưa xác nhận phủ ca: src/features/auth/schemas/login.schema.test.ts</x:v>
      </x:c>
      <x:c r="N7" s="10" t="str">
        <x:v>Pass</x:v>
      </x:c>
      <x:c r="O7" s="10" t="str">
        <x:v>Assertion gắn ID đã pass qua UI/service boundary hoặc rule tương ứng; xem tên assertion trong assertions.json.</x:v>
      </x:c>
      <x:c r="P7" s="10" t="str">
        <x:v>execution/results.json → AUTH-003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AUTH-004</x:v>
      </x:c>
      <x:c r="B8" s="3" t="str">
        <x:v>email: chỉ khoảng trắng</x:v>
      </x:c>
      <x:c r="C8" s="3" t="str">
        <x:v>P1</x:v>
      </x:c>
      <x:c r="D8" s="3" t="str">
        <x:v>AUTH.LOGIN</x:v>
      </x:c>
      <x:c r="E8" s="3" t="str">
        <x:v>Boundary</x:v>
      </x:c>
      <x:c r="F8" s="3" t="str">
        <x:v>Unit + Integration</x:v>
      </x:c>
      <x:c r="G8" s="3" t="str">
        <x:v>Source</x:v>
      </x:c>
      <x:c r="H8" s="3" t="str">
        <x:v>Phiên sạch (guest); locale en, lặp luồng chính ở vi; fixture DS-AUTH; mock service/API trong test frontend; email và OTP sandbox khi chạy E2E.</x:v>
      </x:c>
      <x:c r="I8" s="3" t="str">
        <x:v>password=Passw0rd!; email="   "</x:v>
      </x:c>
      <x:c r="J8" s="3" t="str">
        <x:v>1. Khôi phục bộ dữ liệu hợp lệ.
2. Chỉ thay email bằng giá trị nêu trong dữ liệu.
3. Submit và quan sát lỗi cùng lời gọi service.</x:v>
      </x:c>
      <x:c r="K8" s="3" t="str">
        <x:v>Báo lỗi tại email; không gửi mutation khi giá trị chưa hợp lệ.</x:v>
      </x:c>
      <x:c r="L8" s="3" t="str">
        <x:v>src/features/auth/schemas/login.schema.ts:3</x:v>
      </x:c>
      <x:c r="M8" s="3" t="str">
        <x:v>Đề xuất Unit + Integration | Test liên quan, chưa xác nhận phủ ca: src/features/auth/schemas/login.schema.test.ts</x:v>
      </x:c>
      <x:c r="N8" s="10" t="str">
        <x:v>Pass</x:v>
      </x:c>
      <x:c r="O8" s="10" t="str">
        <x:v>Assertion gắn ID đã pass qua UI/service boundary hoặc rule tương ứng; xem tên assertion trong assertions.json.</x:v>
      </x:c>
      <x:c r="P8" s="10" t="str">
        <x:v>execution/results.json → AUTH-004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AUTH-005</x:v>
      </x:c>
      <x:c r="B9" s="3" t="str">
        <x:v>email: qa.example.test</x:v>
      </x:c>
      <x:c r="C9" s="3" t="str">
        <x:v>P1</x:v>
      </x:c>
      <x:c r="D9" s="3" t="str">
        <x:v>AUTH.LOGIN</x:v>
      </x:c>
      <x:c r="E9" s="3" t="str">
        <x:v>Boundary</x:v>
      </x:c>
      <x:c r="F9" s="3" t="str">
        <x:v>Unit + Integration</x:v>
      </x:c>
      <x:c r="G9" s="3" t="str">
        <x:v>Source</x:v>
      </x:c>
      <x:c r="H9" s="3" t="str">
        <x:v>Phiên sạch (guest); locale en, lặp luồng chính ở vi; fixture DS-AUTH; mock service/API trong test frontend; email và OTP sandbox khi chạy E2E.</x:v>
      </x:c>
      <x:c r="I9" s="3" t="str">
        <x:v>password=Passw0rd!; email="qa.example.test"</x:v>
      </x:c>
      <x:c r="J9" s="3" t="str">
        <x:v>1. Khôi phục bộ dữ liệu hợp lệ.
2. Chỉ thay email bằng giá trị nêu trong dữ liệu.
3. Submit và quan sát lỗi cùng lời gọi service.</x:v>
      </x:c>
      <x:c r="K9" s="3" t="str">
        <x:v>Báo lỗi tại email; không gửi mutation khi giá trị chưa hợp lệ.</x:v>
      </x:c>
      <x:c r="L9" s="3" t="str">
        <x:v>src/features/auth/schemas/login.schema.ts:3</x:v>
      </x:c>
      <x:c r="M9" s="3" t="str">
        <x:v>Đề xuất Unit + Integration | Test liên quan, chưa xác nhận phủ ca: src/features/auth/schemas/login.schema.test.ts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execution/results.json → AUTH-005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AUTH-006</x:v>
      </x:c>
      <x:c r="B10" s="3" t="str">
        <x:v>email: qa+tag@example.test</x:v>
      </x:c>
      <x:c r="C10" s="3" t="str">
        <x:v>P1</x:v>
      </x:c>
      <x:c r="D10" s="3" t="str">
        <x:v>AUTH.LOGIN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Phiên sạch (guest); locale en, lặp luồng chính ở vi; fixture DS-AUTH; mock service/API trong test frontend; email và OTP sandbox khi chạy E2E.</x:v>
      </x:c>
      <x:c r="I10" s="3" t="str">
        <x:v>password=Passw0rd!; email="qa+tag@example.test"</x:v>
      </x:c>
      <x:c r="J10" s="3" t="str">
        <x:v>1. Khôi phục bộ dữ liệu hợp lệ.
2. Chỉ thay email bằng giá trị nêu trong dữ liệu.
3. Submit và quan sát lỗi cùng lời gọi service.</x:v>
      </x:c>
      <x:c r="K10" s="3" t="str">
        <x:v>Email hợp lệ được chuyển tới service.</x:v>
      </x:c>
      <x:c r="L10" s="3" t="str">
        <x:v>src/features/auth/schemas/login.schema.ts:3</x:v>
      </x:c>
      <x:c r="M10" s="3" t="str">
        <x:v>Đề xuất Unit + Integration | Test liên quan, chưa xác nhận phủ ca: src/features/auth/schemas/login.schema.test.ts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AUTH-006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AUTH-007</x:v>
      </x:c>
      <x:c r="B11" s="3" t="str">
        <x:v>password: 7 ký tự</x:v>
      </x:c>
      <x:c r="C11" s="3" t="str">
        <x:v>P1</x:v>
      </x:c>
      <x:c r="D11" s="3" t="str">
        <x:v>AUTH.LOGIN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Phiên sạch (guest); locale en, lặp luồng chính ở vi; fixture DS-AUTH; mock service/API trong test frontend; email và OTP sandbox khi chạy E2E.</x:v>
      </x:c>
      <x:c r="I11" s="3" t="str">
        <x:v>email=qa.a@example.test; password="AAAAAAA"</x:v>
      </x:c>
      <x:c r="J11" s="3" t="str">
        <x:v>1. Khôi phục bộ dữ liệu hợp lệ.
2. Chỉ thay password bằng giá trị nêu trong dữ liệu.
3. Submit và quan sát lỗi cùng lời gọi service.</x:v>
      </x:c>
      <x:c r="K11" s="3" t="str">
        <x:v>Báo lỗi tại password; không gửi mutation khi giá trị chưa hợp lệ.</x:v>
      </x:c>
      <x:c r="L11" s="3" t="str">
        <x:v>src/features/auth/schemas/login.schema.ts:3</x:v>
      </x:c>
      <x:c r="M11" s="3" t="str">
        <x:v>Đề xuất Unit + Integration | Test liên quan, chưa xác nhận phủ ca: src/features/auth/schemas/login.schema.test.ts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AUTH-007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AUTH-008</x:v>
      </x:c>
      <x:c r="B12" s="3" t="str">
        <x:v>password: 8 ký tự</x:v>
      </x:c>
      <x:c r="C12" s="3" t="str">
        <x:v>P1</x:v>
      </x:c>
      <x:c r="D12" s="3" t="str">
        <x:v>AUTH.LOGIN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Phiên sạch (guest); locale en, lặp luồng chính ở vi; fixture DS-AUTH; mock service/API trong test frontend; email và OTP sandbox khi chạy E2E.</x:v>
      </x:c>
      <x:c r="I12" s="3" t="str">
        <x:v>email=qa.a@example.test; password="AAAAAAAA"</x:v>
      </x:c>
      <x:c r="J12" s="3" t="str">
        <x:v>1. Khôi phục bộ dữ liệu hợp lệ.
2. Chỉ thay password bằng giá trị nêu trong dữ liệu.
3. Submit và quan sát lỗi cùng lời gọi service.</x:v>
      </x:c>
      <x:c r="K12" s="3" t="str">
        <x:v>Client cho phép submit theo schema 8–128 ký tự.</x:v>
      </x:c>
      <x:c r="L12" s="3" t="str">
        <x:v>src/features/auth/schemas/login.schema.ts:3</x:v>
      </x:c>
      <x:c r="M12" s="3" t="str">
        <x:v>Đề xuất Unit + Integration | Test liên quan, chưa xác nhận phủ ca: src/features/auth/schemas/login.schema.test.ts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AUTH-008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AUTH-009</x:v>
      </x:c>
      <x:c r="B13" s="3" t="str">
        <x:v>password: 128 ký tự</x:v>
      </x:c>
      <x:c r="C13" s="3" t="str">
        <x:v>P1</x:v>
      </x:c>
      <x:c r="D13" s="3" t="str">
        <x:v>AUTH.LOGIN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Phiên sạch (guest); locale en, lặp luồng chính ở vi; fixture DS-AUTH; mock service/API trong test frontend; email và OTP sandbox khi chạy E2E.</x:v>
      </x:c>
      <x:c r="I13" s="3" t="str">
        <x:v>email=qa.a@example.test; password="AAAAAAAAAAAAAAAAAAAAAAAAAAAAAAAAAAAAAAAAAAAAAAAAAAAAAAAAAAAAAAAAAAAAAAAAAAAAAAAAAAAAAAAAAAAAAAAAAAAAAAAAAAAAAAAAAAAAAAAAAAAAAAAA"</x:v>
      </x:c>
      <x:c r="J13" s="3" t="str">
        <x:v>1. Khôi phục bộ dữ liệu hợp lệ.
2. Chỉ thay password bằng giá trị nêu trong dữ liệu.
3. Submit và quan sát lỗi cùng lời gọi service.</x:v>
      </x:c>
      <x:c r="K13" s="3" t="str">
        <x:v>Client cho phép submit theo schema 8–128 ký tự.</x:v>
      </x:c>
      <x:c r="L13" s="3" t="str">
        <x:v>src/features/auth/schemas/login.schema.ts:3</x:v>
      </x:c>
      <x:c r="M13" s="3" t="str">
        <x:v>Đề xuất Unit + Integration | Test liên quan, chưa xác nhận phủ ca: src/features/auth/schemas/login.schema.test.ts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AUTH-009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AUTH-010</x:v>
      </x:c>
      <x:c r="B14" s="3" t="str">
        <x:v>password: 129 ký tự</x:v>
      </x:c>
      <x:c r="C14" s="3" t="str">
        <x:v>P1</x:v>
      </x:c>
      <x:c r="D14" s="3" t="str">
        <x:v>AUTH.LOGIN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Phiên sạch (guest); locale en, lặp luồng chính ở vi; fixture DS-AUTH; mock service/API trong test frontend; email và OTP sandbox khi chạy E2E.</x:v>
      </x:c>
      <x:c r="I14" s="3" t="str">
        <x:v>email=qa.a@example.test; password=repeat("A", 129) — đúng 129 ký tự</x:v>
      </x:c>
      <x:c r="J14" s="3" t="str">
        <x:v>1. Khôi phục bộ dữ liệu hợp lệ.
2. Chỉ thay password bằng giá trị nêu trong dữ liệu.
3. Submit và quan sát lỗi cùng lời gọi service.</x:v>
      </x:c>
      <x:c r="K14" s="3" t="str">
        <x:v>Báo lỗi tại password; không gửi mutation khi giá trị chưa hợp lệ.</x:v>
      </x:c>
      <x:c r="L14" s="3" t="str">
        <x:v>src/features/auth/schemas/login.schema.ts:3</x:v>
      </x:c>
      <x:c r="M14" s="3" t="str">
        <x:v>Đề xuất Unit + Integration | Test liên quan, chưa xác nhận phủ ca: src/features/auth/schemas/login.schema.test.ts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AUTH-010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AUTH-011</x:v>
      </x:c>
      <x:c r="B15" s="3" t="str">
        <x:v>Sai thông tin đăng nhập</x:v>
      </x:c>
      <x:c r="C15" s="3" t="str">
        <x:v>P0</x:v>
      </x:c>
      <x:c r="D15" s="3" t="str">
        <x:v>AUTH.LOGIN</x:v>
      </x:c>
      <x:c r="E15" s="3" t="str">
        <x:v>Negative</x:v>
      </x:c>
      <x:c r="F15" s="3" t="str">
        <x:v>Integration</x:v>
      </x:c>
      <x:c r="G15" s="3" t="str">
        <x:v>Source</x:v>
      </x:c>
      <x:c r="H15" s="3" t="str">
        <x:v>Phiên sạch (guest); locale en, lặp luồng chính ở vi; fixture DS-AUTH; mock service/API trong test frontend; email và OTP sandbox khi chạy E2E.</x:v>
      </x:c>
      <x:c r="I15" s="3" t="str">
        <x:v>API 401 detail="Invalid email or password."</x:v>
      </x:c>
      <x:c r="J15" s="3" t="str">
        <x:v>1. Submit tài khoản sai.
2. Quan sát Alert và network.</x:v>
      </x:c>
      <x:c r="K15" s="3" t="str">
        <x:v>Giữ ở /login, hiển thị lỗi; không gọi refresh cho /auth/login; không tạo phiên mới.</x:v>
      </x:c>
      <x:c r="L15" s="3" t="str">
        <x:v>src/features/auth/components/login-form.tsx:19
src/features/auth/api/auth.service.ts:31
src/features/auth/schemas/login.schema.ts:3</x:v>
      </x:c>
      <x:c r="M15" s="3" t="str">
        <x:v>Đề xuất Integration | Test liên quan, chưa xác nhận phủ ca: src/features/auth/components/login-form.test.tsx, src/features/auth/api/auth.service.test.ts</x:v>
      </x:c>
      <x:c r="N15" s="10" t="str">
        <x:v>Not run</x:v>
      </x:c>
      <x:c r="O15" s="10" t="str">
        <x:v>Chưa thực thi đầy đủ các bước/expected của ca. Các test liên quan đã chạy, nhưng chưa có assertion đủ để gán Pass.</x:v>
      </x:c>
      <x:c r="P15" s="10" t="str">
        <x:v>execution/results.json → AUTH-011
execution/assertions.json</x:v>
      </x:c>
      <x:c r="Q15" s="10" t="str"/>
      <x:c r="R15" s="11"/>
    </x:row>
    <x:row r="16" ht="94" customHeight="1">
      <x:c r="A16" s="3" t="str">
        <x:v>AUTH-012</x:v>
      </x:c>
      <x:c r="B16" s="3" t="str">
        <x:v>Chống submit lặp</x:v>
      </x:c>
      <x:c r="C16" s="3" t="str">
        <x:v>P1</x:v>
      </x:c>
      <x:c r="D16" s="3" t="str">
        <x:v>AUTH.LOGIN</x:v>
      </x:c>
      <x:c r="E16" s="3" t="str">
        <x:v>Concurrency</x:v>
      </x:c>
      <x:c r="F16" s="3" t="str">
        <x:v>Integration</x:v>
      </x:c>
      <x:c r="G16" s="3" t="str">
        <x:v>Source</x:v>
      </x:c>
      <x:c r="H16" s="3" t="str">
        <x:v>Phiên sạch (guest); locale en, lặp luồng chính ở vi; fixture DS-AUTH; mock service/API trong test frontend; email và OTP sandbox khi chạy E2E.</x:v>
      </x:c>
      <x:c r="I16" s="3" t="str">
        <x:v>Promise login chưa resolve</x:v>
      </x:c>
      <x:c r="J16" s="3" t="str">
        <x:v>1. Click submit hai lần và nhấn Enter khi pending.
2. Resolve request.</x:v>
      </x:c>
      <x:c r="K16" s="3" t="str">
        <x:v>Một request login; nút disabled và có trạng thái đang đăng nhập; một lần điều hướng.</x:v>
      </x:c>
      <x:c r="L16" s="3" t="str">
        <x:v>src/features/auth/components/login-form.tsx:19
src/features/auth/api/auth.service.ts:31
src/features/auth/schemas/login.schema.ts:3</x:v>
      </x:c>
      <x:c r="M16" s="3" t="str">
        <x:v>Đề xuất Integration | Test liên quan, chưa xác nhận phủ ca: src/features/auth/components/login-form.test.tsx, src/features/auth/api/auth.service.test.ts</x:v>
      </x:c>
      <x:c r="N16" s="10" t="str">
        <x:v>Not run</x:v>
      </x:c>
      <x:c r="O16" s="10" t="str">
        <x:v>Chưa thực thi đầy đủ các bước/expected của ca. Các test liên quan đã chạy, nhưng chưa có assertion đủ để gán Pass.</x:v>
      </x:c>
      <x:c r="P16" s="10" t="str">
        <x:v>execution/results.json → AUTH-012
execution/assertions.json</x:v>
      </x:c>
      <x:c r="Q16" s="10" t="str"/>
      <x:c r="R16" s="11"/>
    </x:row>
    <x:row r="17" ht="94" customHeight="1">
      <x:c r="A17" s="3" t="str">
        <x:v>AUTH-013</x:v>
      </x:c>
      <x:c r="B17" s="3" t="str">
        <x:v>Profile prefetch lỗi sau login thành công</x:v>
      </x:c>
      <x:c r="C17" s="3" t="str">
        <x:v>P1</x:v>
      </x:c>
      <x:c r="D17" s="3" t="str">
        <x:v>AUTH.LOGIN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Phiên sạch (guest); locale en, lặp luồng chính ở vi; fixture DS-AUTH; mock service/API trong test frontend; email và OTP sandbox khi chạy E2E.</x:v>
      </x:c>
      <x:c r="I17" s="3" t="str">
        <x:v>login=200; GET /me/profile=500</x:v>
      </x:c>
      <x:c r="J17" s="3" t="str">
        <x:v>1. Đăng nhập.
2. Để prefetch profile lỗi.</x:v>
      </x:c>
      <x:c r="K17" s="3" t="str">
        <x:v>Login vẫn thành công, chuyển Home; không báo sai mật khẩu chỉ vì profile lỗi. Header không hiện danh tính giả.</x:v>
      </x:c>
      <x:c r="L17" s="3" t="str">
        <x:v>src/features/auth/components/login-form.tsx:19
src/features/auth/api/auth.service.ts:31
src/features/auth/schemas/login.schema.ts:3</x:v>
      </x:c>
      <x:c r="M17" s="3" t="str">
        <x:v>Đề xuất Integration | Test liên quan, chưa xác nhận phủ ca: src/features/auth/components/login-form.test.tsx, src/features/auth/api/auth.service.test.ts</x:v>
      </x:c>
      <x:c r="N17" s="10" t="str">
        <x:v>Pass</x:v>
      </x:c>
      <x:c r="O17" s="10" t="str">
        <x:v>Login vẫn điều hướng thành công khi profile prefetch lỗi; profile chỉ được gọi một lần.</x:v>
      </x:c>
      <x:c r="P17" s="10" t="str">
        <x:v>execution/results.json → AUTH-013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AUTH-014</x:v>
      </x:c>
      <x:c r="B18" s="3" t="str">
        <x:v>Response token sai contract</x:v>
      </x:c>
      <x:c r="C18" s="3" t="str">
        <x:v>P1</x:v>
      </x:c>
      <x:c r="D18" s="3" t="str">
        <x:v>AUTH.LOGIN</x:v>
      </x:c>
      <x:c r="E18" s="3" t="str">
        <x:v>Contract</x:v>
      </x:c>
      <x:c r="F18" s="3" t="str">
        <x:v>Integration</x:v>
      </x:c>
      <x:c r="G18" s="3" t="str">
        <x:v>Source</x:v>
      </x:c>
      <x:c r="H18" s="3" t="str">
        <x:v>Phiên sạch (guest); locale en, lặp luồng chính ở vi; fixture DS-AUTH; mock service/API trong test frontend; email và OTP sandbox khi chạy E2E.</x:v>
      </x:c>
      <x:c r="I18" s="3" t="str">
        <x:v>token rỗng hoặc expiresAt="invalid"</x:v>
      </x:c>
      <x:c r="J18" s="3" t="str">
        <x:v>1. Mock response login malformed.
2. Submit.</x:v>
      </x:c>
      <x:c r="K18" s="3" t="str">
        <x:v>Không tạo session; giữ form và thông báo thất bại; token sai không xuất hiện trong cookie.</x:v>
      </x:c>
      <x:c r="L18" s="3" t="str">
        <x:v>src/features/auth/components/login-form.tsx:19
src/features/auth/api/auth.service.ts:31
src/features/auth/schemas/login.schema.ts:3</x:v>
      </x:c>
      <x:c r="M18" s="3" t="str">
        <x:v>Đề xuất Integration | Test liên quan, chưa xác nhận phủ ca: src/features/auth/components/login-form.test.tsx, src/features/auth/api/auth.service.test.ts</x:v>
      </x:c>
      <x:c r="N18" s="10" t="str">
        <x:v>Not run</x:v>
      </x:c>
      <x:c r="O18" s="10" t="str">
        <x:v>Chưa thực thi đầy đủ các bước/expected của ca. Các test liên quan đã chạy, nhưng chưa có assertion đủ để gán Pass.</x:v>
      </x:c>
      <x:c r="P18" s="10" t="str">
        <x:v>execution/results.json → AUTH-014
execution/assertions.json</x:v>
      </x:c>
      <x:c r="Q18" s="10" t="str"/>
      <x:c r="R18" s="11"/>
    </x:row>
    <x:row r="19" ht="94" customHeight="1">
      <x:c r="A19" s="3" t="str">
        <x:v>AUTH-015</x:v>
      </x:c>
      <x:c r="B19" s="3" t="str">
        <x:v>Đăng ký đủ ba bước</x:v>
      </x:c>
      <x:c r="C19" s="3" t="str">
        <x:v>P0</x:v>
      </x:c>
      <x:c r="D19" s="3" t="str">
        <x:v>AUTH.SIGNUP</x:v>
      </x:c>
      <x:c r="E19" s="3" t="str">
        <x:v>Functional</x:v>
      </x:c>
      <x:c r="F19" s="3" t="str">
        <x:v>E2E</x:v>
      </x:c>
      <x:c r="G19" s="3" t="str">
        <x:v>Source</x:v>
      </x:c>
      <x:c r="H19" s="3" t="str">
        <x:v>Phiên sạch (guest); locale en, lặp luồng chính ở vi; fixture DS-AUTH; mock service/API trong test frontend; email và OTP sandbox khi chạy E2E.</x:v>
      </x:c>
      <x:c r="I19" s="3" t="str">
        <x:v>DS-AUTH.NEW; challenge GUID; verified=true; completion userId/email</x:v>
      </x:c>
      <x:c r="J19" s="3" t="str">
        <x:v>1. Nhập account.
2. Gửi và nhập OTP.
3. Đặt mật khẩu khớp và hoàn tất.</x:v>
      </x:c>
      <x:c r="K19" s="3" t="str">
        <x:v>Gọi tuần tự start, verify-otp, complete; cùng challengeId; hiển thị email hoàn tất và link login. Không tự cấp quyền đăng nhập khi API chỉ trả userId/email.</x:v>
      </x:c>
      <x:c r="L19" s="3" t="str">
        <x:v>src/features/auth/components/signup-form.tsx:26
src/features/auth/api/auth.service.ts:31
src/features/auth/schemas/signup.schema.ts:5</x:v>
      </x:c>
      <x:c r="M19" s="3" t="str">
        <x:v>Đề xuất E2E | Test liên quan, chưa xác nhận phủ ca: src/features/auth/components/signup-form.test.tsx, src/features/auth/api/auth.service.test.ts</x:v>
      </x:c>
      <x:c r="N19" s="10" t="str">
        <x:v>Blocked</x:v>
      </x:c>
      <x:c r="O19" s="10" t="str">
        <x:v>Chưa có sandbox URL/tài khoản A–B, OTP/email và quyền chạy giao dịch thật. Luồng local dùng spy/fixture chỉ xác minh frontend, không chứng minh E2E thật.</x:v>
      </x:c>
      <x:c r="P19" s="10" t="str">
        <x:v>execution/results.json → AUTH-015
execution/assertions.json</x:v>
      </x:c>
      <x:c r="Q19" s="10" t="str">
        <x:v>Codex — local automated QA</x:v>
      </x:c>
      <x:c r="R19" s="11"/>
    </x:row>
    <x:row r="20" ht="94" customHeight="1">
      <x:c r="A20" s="3" t="str">
        <x:v>AUTH-016</x:v>
      </x:c>
      <x:c r="B20" s="3" t="str">
        <x:v>company: chỉ khoảng trắng</x:v>
      </x:c>
      <x:c r="C20" s="3" t="str">
        <x:v>P1</x:v>
      </x:c>
      <x:c r="D20" s="3" t="str">
        <x:v>AUTH.SIGNUP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Phiên sạch (guest); locale en, lặp luồng chính ở vi; fixture DS-AUTH; mock service/API trong test frontend; email và OTP sandbox khi chạy E2E.</x:v>
      </x:c>
      <x:c r="I20" s="3" t="str">
        <x:v>DS-AUTH.NEW; company="   "</x:v>
      </x:c>
      <x:c r="J20" s="3" t="str">
        <x:v>1. Khôi phục bộ dữ liệu hợp lệ.
2. Chỉ thay company bằng giá trị nêu trong dữ liệu.
3. Submit và quan sát lỗi cùng lời gọi service.</x:v>
      </x:c>
      <x:c r="K20" s="3" t="str">
        <x:v>Báo lỗi tại company; không gửi mutation khi giá trị chưa hợp lệ.</x:v>
      </x:c>
      <x:c r="L20" s="3" t="str">
        <x:v>src/features/auth/schemas/signup.schema.ts:5</x:v>
      </x:c>
      <x:c r="M20" s="3" t="str">
        <x:v>Đề xuất Unit + Integration | Test liên quan, chưa xác nhận phủ ca: src/features/auth/schemas/signup.schema.test.ts</x:v>
      </x:c>
      <x:c r="N20" s="10" t="str">
        <x:v>Pass</x:v>
      </x:c>
      <x:c r="O20" s="10" t="str">
        <x:v>Assertion gắn ID đã pass qua UI/service boundary hoặc rule tương ứng; xem tên assertion trong assertions.json.</x:v>
      </x:c>
      <x:c r="P20" s="10" t="str">
        <x:v>execution/results.json → AUTH-016
execution/assertions.json</x:v>
      </x:c>
      <x:c r="Q20" s="10" t="str">
        <x:v>Codex — local automated QA</x:v>
      </x:c>
      <x:c r="R20" s="11" t="d">
        <x:v>2026-10-18T05:30:31.999Z</x:v>
      </x:c>
    </x:row>
    <x:row r="21" ht="94" customHeight="1">
      <x:c r="A21" s="3" t="str">
        <x:v>AUTH-017</x:v>
      </x:c>
      <x:c r="B21" s="3" t="str">
        <x:v>company: giá trị hợp lệ có khoảng trắng hai đầu</x:v>
      </x:c>
      <x:c r="C21" s="3" t="str">
        <x:v>P1</x:v>
      </x:c>
      <x:c r="D21" s="3" t="str">
        <x:v>AUTH.SIGNUP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Phiên sạch (guest); locale en, lặp luồng chính ở vi; fixture DS-AUTH; mock service/API trong test frontend; email và OTP sandbox khi chạy E2E.</x:v>
      </x:c>
      <x:c r="I21" s="3" t="str">
        <x:v>DS-AUTH.NEW; company="  QA Lab  "</x:v>
      </x:c>
      <x:c r="J21" s="3" t="str">
        <x:v>1. Khôi phục bộ dữ liệu hợp lệ.
2. Chỉ thay company bằng giá trị nêu trong dữ liệu.
3. Submit và quan sát lỗi cùng lời gọi service.</x:v>
      </x:c>
      <x:c r="K21" s="3" t="str">
        <x:v>company được trim trong payload.</x:v>
      </x:c>
      <x:c r="L21" s="3" t="str">
        <x:v>src/features/auth/schemas/signup.schema.ts:5</x:v>
      </x:c>
      <x:c r="M21" s="3" t="str">
        <x:v>Đề xuất Unit + Integration | Test liên quan, chưa xác nhận phủ ca: src/features/auth/schemas/signup.schema.test.ts</x:v>
      </x:c>
      <x:c r="N21" s="10" t="str">
        <x:v>Pass</x:v>
      </x:c>
      <x:c r="O21" s="10" t="str">
        <x:v>Assertion gắn ID đã pass qua UI/service boundary hoặc rule tương ứng; xem tên assertion trong assertions.json.</x:v>
      </x:c>
      <x:c r="P21" s="10" t="str">
        <x:v>execution/results.json → AUTH-017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AUTH-018</x:v>
      </x:c>
      <x:c r="B22" s="3" t="str">
        <x:v>fullName: chỉ khoảng trắng</x:v>
      </x:c>
      <x:c r="C22" s="3" t="str">
        <x:v>P1</x:v>
      </x:c>
      <x:c r="D22" s="3" t="str">
        <x:v>AUTH.SIGNUP</x:v>
      </x:c>
      <x:c r="E22" s="3" t="str">
        <x:v>Boundary</x:v>
      </x:c>
      <x:c r="F22" s="3" t="str">
        <x:v>Unit + Integration</x:v>
      </x:c>
      <x:c r="G22" s="3" t="str">
        <x:v>Source</x:v>
      </x:c>
      <x:c r="H22" s="3" t="str">
        <x:v>Phiên sạch (guest); locale en, lặp luồng chính ở vi; fixture DS-AUTH; mock service/API trong test frontend; email và OTP sandbox khi chạy E2E.</x:v>
      </x:c>
      <x:c r="I22" s="3" t="str">
        <x:v>DS-AUTH.NEW; fullName="   "</x:v>
      </x:c>
      <x:c r="J22" s="3" t="str">
        <x:v>1. Khôi phục bộ dữ liệu hợp lệ.
2. Chỉ thay fullName bằng giá trị nêu trong dữ liệu.
3. Submit và quan sát lỗi cùng lời gọi service.</x:v>
      </x:c>
      <x:c r="K22" s="3" t="str">
        <x:v>Báo lỗi tại fullName; không gửi mutation khi giá trị chưa hợp lệ.</x:v>
      </x:c>
      <x:c r="L22" s="3" t="str">
        <x:v>src/features/auth/schemas/signup.schema.ts:5</x:v>
      </x:c>
      <x:c r="M22" s="3" t="str">
        <x:v>Đề xuất Unit + Integration | Test liên quan, chưa xác nhận phủ ca: src/features/auth/schemas/signup.schema.test.ts</x:v>
      </x:c>
      <x:c r="N22" s="10" t="str">
        <x:v>Pass</x:v>
      </x:c>
      <x:c r="O22" s="10" t="str">
        <x:v>Assertion gắn ID đã pass qua UI/service boundary hoặc rule tương ứng; xem tên assertion trong assertions.json.</x:v>
      </x:c>
      <x:c r="P22" s="10" t="str">
        <x:v>execution/results.json → AUTH-018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AUTH-019</x:v>
      </x:c>
      <x:c r="B23" s="3" t="str">
        <x:v>fullName: giá trị hợp lệ có khoảng trắng hai đầu</x:v>
      </x:c>
      <x:c r="C23" s="3" t="str">
        <x:v>P1</x:v>
      </x:c>
      <x:c r="D23" s="3" t="str">
        <x:v>AUTH.SIGNUP</x:v>
      </x:c>
      <x:c r="E23" s="3" t="str">
        <x:v>Boundary</x:v>
      </x:c>
      <x:c r="F23" s="3" t="str">
        <x:v>Unit + Integration</x:v>
      </x:c>
      <x:c r="G23" s="3" t="str">
        <x:v>Source</x:v>
      </x:c>
      <x:c r="H23" s="3" t="str">
        <x:v>Phiên sạch (guest); locale en, lặp luồng chính ở vi; fixture DS-AUTH; mock service/API trong test frontend; email và OTP sandbox khi chạy E2E.</x:v>
      </x:c>
      <x:c r="I23" s="3" t="str">
        <x:v>DS-AUTH.NEW; fullName="  QA Lab  "</x:v>
      </x:c>
      <x:c r="J23" s="3" t="str">
        <x:v>1. Khôi phục bộ dữ liệu hợp lệ.
2. Chỉ thay fullName bằng giá trị nêu trong dữ liệu.
3. Submit và quan sát lỗi cùng lời gọi service.</x:v>
      </x:c>
      <x:c r="K23" s="3" t="str">
        <x:v>fullName được trim trong payload.</x:v>
      </x:c>
      <x:c r="L23" s="3" t="str">
        <x:v>src/features/auth/schemas/signup.schema.ts:5</x:v>
      </x:c>
      <x:c r="M23" s="3" t="str">
        <x:v>Đề xuất Unit + Integration | Test liên quan, chưa xác nhận phủ ca: src/features/auth/schemas/signup.schema.test.ts</x:v>
      </x:c>
      <x:c r="N23" s="10" t="str">
        <x:v>Pass</x:v>
      </x:c>
      <x:c r="O23" s="10" t="str">
        <x:v>Assertion gắn ID đã pass qua UI/service boundary hoặc rule tương ứng; xem tên assertion trong assertions.json.</x:v>
      </x:c>
      <x:c r="P23" s="10" t="str">
        <x:v>execution/results.json → AUTH-019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AUTH-020</x:v>
      </x:c>
      <x:c r="B24" s="3" t="str">
        <x:v>region: chỉ khoảng trắng</x:v>
      </x:c>
      <x:c r="C24" s="3" t="str">
        <x:v>P1</x:v>
      </x:c>
      <x:c r="D24" s="3" t="str">
        <x:v>AUTH.SIGNUP</x:v>
      </x:c>
      <x:c r="E24" s="3" t="str">
        <x:v>Boundary</x:v>
      </x:c>
      <x:c r="F24" s="3" t="str">
        <x:v>Unit + Integration</x:v>
      </x:c>
      <x:c r="G24" s="3" t="str">
        <x:v>Source</x:v>
      </x:c>
      <x:c r="H24" s="3" t="str">
        <x:v>Phiên sạch (guest); locale en, lặp luồng chính ở vi; fixture DS-AUTH; mock service/API trong test frontend; email và OTP sandbox khi chạy E2E.</x:v>
      </x:c>
      <x:c r="I24" s="3" t="str">
        <x:v>DS-AUTH.NEW; region="   "</x:v>
      </x:c>
      <x:c r="J24" s="3" t="str">
        <x:v>1. Khôi phục bộ dữ liệu hợp lệ.
2. Chỉ thay region bằng giá trị nêu trong dữ liệu.
3. Submit và quan sát lỗi cùng lời gọi service.</x:v>
      </x:c>
      <x:c r="K24" s="3" t="str">
        <x:v>Báo lỗi tại region; không gửi mutation khi giá trị chưa hợp lệ.</x:v>
      </x:c>
      <x:c r="L24" s="3" t="str">
        <x:v>src/features/auth/schemas/signup.schema.ts:5</x:v>
      </x:c>
      <x:c r="M24" s="3" t="str">
        <x:v>Đề xuất Unit + Integration | Test liên quan, chưa xác nhận phủ ca: src/features/auth/schemas/signup.schema.test.ts</x:v>
      </x:c>
      <x:c r="N24" s="10" t="str">
        <x:v>Pass</x:v>
      </x:c>
      <x:c r="O24" s="10" t="str">
        <x:v>Assertion gắn ID đã pass qua UI/service boundary hoặc rule tương ứng; xem tên assertion trong assertions.json.</x:v>
      </x:c>
      <x:c r="P24" s="10" t="str">
        <x:v>execution/results.json → AUTH-020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AUTH-021</x:v>
      </x:c>
      <x:c r="B25" s="3" t="str">
        <x:v>region: giá trị hợp lệ có khoảng trắng hai đầu</x:v>
      </x:c>
      <x:c r="C25" s="3" t="str">
        <x:v>P1</x:v>
      </x:c>
      <x:c r="D25" s="3" t="str">
        <x:v>AUTH.SIGNUP</x:v>
      </x:c>
      <x:c r="E25" s="3" t="str">
        <x:v>Boundary</x:v>
      </x:c>
      <x:c r="F25" s="3" t="str">
        <x:v>Unit + Integration</x:v>
      </x:c>
      <x:c r="G25" s="3" t="str">
        <x:v>Source</x:v>
      </x:c>
      <x:c r="H25" s="3" t="str">
        <x:v>Phiên sạch (guest); locale en, lặp luồng chính ở vi; fixture DS-AUTH; mock service/API trong test frontend; email và OTP sandbox khi chạy E2E.</x:v>
      </x:c>
      <x:c r="I25" s="3" t="str">
        <x:v>DS-AUTH.NEW; region="  QA Lab  "</x:v>
      </x:c>
      <x:c r="J25" s="3" t="str">
        <x:v>1. Khôi phục bộ dữ liệu hợp lệ.
2. Chỉ thay region bằng giá trị nêu trong dữ liệu.
3. Submit và quan sát lỗi cùng lời gọi service.</x:v>
      </x:c>
      <x:c r="K25" s="3" t="str">
        <x:v>region được trim trong payload.</x:v>
      </x:c>
      <x:c r="L25" s="3" t="str">
        <x:v>src/features/auth/schemas/signup.schema.ts:5</x:v>
      </x:c>
      <x:c r="M25" s="3" t="str">
        <x:v>Đề xuất Unit + Integration | Test liên quan, chưa xác nhận phủ ca: src/features/auth/schemas/signup.schema.test.ts</x:v>
      </x:c>
      <x:c r="N25" s="10" t="str">
        <x:v>Pass</x:v>
      </x:c>
      <x:c r="O25" s="10" t="str">
        <x:v>Assertion gắn ID đã pass qua UI/service boundary hoặc rule tương ứng; xem tên assertion trong assertions.json.</x:v>
      </x:c>
      <x:c r="P25" s="10" t="str">
        <x:v>execution/results.json → AUTH-021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AUTH-022</x:v>
      </x:c>
      <x:c r="B26" s="3" t="str">
        <x:v>address: chỉ khoảng trắng</x:v>
      </x:c>
      <x:c r="C26" s="3" t="str">
        <x:v>P1</x:v>
      </x:c>
      <x:c r="D26" s="3" t="str">
        <x:v>AUTH.SIGNUP</x:v>
      </x:c>
      <x:c r="E26" s="3" t="str">
        <x:v>Boundary</x:v>
      </x:c>
      <x:c r="F26" s="3" t="str">
        <x:v>Unit + Integration</x:v>
      </x:c>
      <x:c r="G26" s="3" t="str">
        <x:v>Source</x:v>
      </x:c>
      <x:c r="H26" s="3" t="str">
        <x:v>Phiên sạch (guest); locale en, lặp luồng chính ở vi; fixture DS-AUTH; mock service/API trong test frontend; email và OTP sandbox khi chạy E2E.</x:v>
      </x:c>
      <x:c r="I26" s="3" t="str">
        <x:v>DS-AUTH.NEW; address="   "</x:v>
      </x:c>
      <x:c r="J26" s="3" t="str">
        <x:v>1. Khôi phục bộ dữ liệu hợp lệ.
2. Chỉ thay address bằng giá trị nêu trong dữ liệu.
3. Submit và quan sát lỗi cùng lời gọi service.</x:v>
      </x:c>
      <x:c r="K26" s="3" t="str">
        <x:v>Báo lỗi tại address; không gửi mutation khi giá trị chưa hợp lệ.</x:v>
      </x:c>
      <x:c r="L26" s="3" t="str">
        <x:v>src/features/auth/schemas/signup.schema.ts:5</x:v>
      </x:c>
      <x:c r="M26" s="3" t="str">
        <x:v>Đề xuất Unit + Integration | Test liên quan, chưa xác nhận phủ ca: src/features/auth/schemas/signup.schema.test.ts</x:v>
      </x:c>
      <x:c r="N26" s="10" t="str">
        <x:v>Pass</x:v>
      </x:c>
      <x:c r="O26" s="10" t="str">
        <x:v>Assertion gắn ID đã pass qua UI/service boundary hoặc rule tương ứng; xem tên assertion trong assertions.json.</x:v>
      </x:c>
      <x:c r="P26" s="10" t="str">
        <x:v>execution/results.json → AUTH-022
execution/assertions.json</x:v>
      </x:c>
      <x:c r="Q26" s="10" t="str">
        <x:v>Codex — local automated QA</x:v>
      </x:c>
      <x:c r="R26" s="11" t="d">
        <x:v>2026-10-18T05:30:31.999Z</x:v>
      </x:c>
    </x:row>
    <x:row r="27" ht="94" customHeight="1">
      <x:c r="A27" s="3" t="str">
        <x:v>AUTH-023</x:v>
      </x:c>
      <x:c r="B27" s="3" t="str">
        <x:v>address: giá trị hợp lệ có khoảng trắng hai đầu</x:v>
      </x:c>
      <x:c r="C27" s="3" t="str">
        <x:v>P1</x:v>
      </x:c>
      <x:c r="D27" s="3" t="str">
        <x:v>AUTH.SIGNUP</x:v>
      </x:c>
      <x:c r="E27" s="3" t="str">
        <x:v>Boundary</x:v>
      </x:c>
      <x:c r="F27" s="3" t="str">
        <x:v>Unit + Integration</x:v>
      </x:c>
      <x:c r="G27" s="3" t="str">
        <x:v>Source</x:v>
      </x:c>
      <x:c r="H27" s="3" t="str">
        <x:v>Phiên sạch (guest); locale en, lặp luồng chính ở vi; fixture DS-AUTH; mock service/API trong test frontend; email và OTP sandbox khi chạy E2E.</x:v>
      </x:c>
      <x:c r="I27" s="3" t="str">
        <x:v>DS-AUTH.NEW; address="  QA Lab  "</x:v>
      </x:c>
      <x:c r="J27" s="3" t="str">
        <x:v>1. Khôi phục bộ dữ liệu hợp lệ.
2. Chỉ thay address bằng giá trị nêu trong dữ liệu.
3. Submit và quan sát lỗi cùng lời gọi service.</x:v>
      </x:c>
      <x:c r="K27" s="3" t="str">
        <x:v>address được trim trong payload.</x:v>
      </x:c>
      <x:c r="L27" s="3" t="str">
        <x:v>src/features/auth/schemas/signup.schema.ts:5</x:v>
      </x:c>
      <x:c r="M27" s="3" t="str">
        <x:v>Đề xuất Unit + Integration | Test liên quan, chưa xác nhận phủ ca: src/features/auth/schemas/signup.schema.test.ts</x:v>
      </x:c>
      <x:c r="N27" s="10" t="str">
        <x:v>Pass</x:v>
      </x:c>
      <x:c r="O27" s="10" t="str">
        <x:v>Assertion gắn ID đã pass qua UI/service boundary hoặc rule tương ứng; xem tên assertion trong assertions.json.</x:v>
      </x:c>
      <x:c r="P27" s="10" t="str">
        <x:v>execution/results.json → AUTH-023
execution/assertions.json</x:v>
      </x:c>
      <x:c r="Q27" s="10" t="str">
        <x:v>Codex — local automated QA</x:v>
      </x:c>
      <x:c r="R27" s="11" t="d">
        <x:v>2026-10-18T05:30:31.999Z</x:v>
      </x:c>
    </x:row>
    <x:row r="28" ht="94" customHeight="1">
      <x:c r="A28" s="3" t="str">
        <x:v>AUTH-024</x:v>
      </x:c>
      <x:c r="B28" s="3" t="str">
        <x:v>company: 160 ký tự</x:v>
      </x:c>
      <x:c r="C28" s="3" t="str">
        <x:v>P1</x:v>
      </x:c>
      <x:c r="D28" s="3" t="str">
        <x:v>AUTH.SIGNUP</x:v>
      </x:c>
      <x:c r="E28" s="3" t="str">
        <x:v>Boundary</x:v>
      </x:c>
      <x:c r="F28" s="3" t="str">
        <x:v>Unit + Integration</x:v>
      </x:c>
      <x:c r="G28" s="3" t="str">
        <x:v>Source</x:v>
      </x:c>
      <x:c r="H28" s="3" t="str">
        <x:v>Phiên sạch (guest); locale en, lặp luồng chính ở vi; fixture DS-AUTH; mock service/API trong test frontend; email và OTP sandbox khi chạy E2E.</x:v>
      </x:c>
      <x:c r="I28" s="3" t="str">
        <x:v>DS-AUTH.NEW; company=repeat("A", 160) — đúng 160 ký tự</x:v>
      </x:c>
      <x:c r="J28" s="3" t="str">
        <x:v>1. Khôi phục bộ dữ liệu hợp lệ.
2. Chỉ thay company bằng giá trị nêu trong dữ liệu.
3. Submit và quan sát lỗi cùng lời gọi service.</x:v>
      </x:c>
      <x:c r="K28" s="3" t="str">
        <x:v>Giá trị company được chấp nhận ở giới hạn 160.</x:v>
      </x:c>
      <x:c r="L28" s="3" t="str">
        <x:v>src/features/auth/schemas/signup.schema.ts:5</x:v>
      </x:c>
      <x:c r="M28" s="3" t="str">
        <x:v>Đề xuất Unit + Integration | Test liên quan, chưa xác nhận phủ ca: src/features/auth/schemas/signup.schema.test.ts</x:v>
      </x:c>
      <x:c r="N28" s="10" t="str">
        <x:v>Pass</x:v>
      </x:c>
      <x:c r="O28" s="10" t="str">
        <x:v>Assertion gắn ID đã pass qua UI/service boundary hoặc rule tương ứng; xem tên assertion trong assertions.json.</x:v>
      </x:c>
      <x:c r="P28" s="10" t="str">
        <x:v>execution/results.json → AUTH-024
execution/assertions.json</x:v>
      </x:c>
      <x:c r="Q28" s="10" t="str">
        <x:v>Codex — local automated QA</x:v>
      </x:c>
      <x:c r="R28" s="11" t="d">
        <x:v>2026-10-18T05:30:31.999Z</x:v>
      </x:c>
    </x:row>
    <x:row r="29" ht="94" customHeight="1">
      <x:c r="A29" s="3" t="str">
        <x:v>AUTH-025</x:v>
      </x:c>
      <x:c r="B29" s="3" t="str">
        <x:v>company: 161 ký tự</x:v>
      </x:c>
      <x:c r="C29" s="3" t="str">
        <x:v>P1</x:v>
      </x:c>
      <x:c r="D29" s="3" t="str">
        <x:v>AUTH.SIGNUP</x:v>
      </x:c>
      <x:c r="E29" s="3" t="str">
        <x:v>Boundary</x:v>
      </x:c>
      <x:c r="F29" s="3" t="str">
        <x:v>Unit + Integration</x:v>
      </x:c>
      <x:c r="G29" s="3" t="str">
        <x:v>Source</x:v>
      </x:c>
      <x:c r="H29" s="3" t="str">
        <x:v>Phiên sạch (guest); locale en, lặp luồng chính ở vi; fixture DS-AUTH; mock service/API trong test frontend; email và OTP sandbox khi chạy E2E.</x:v>
      </x:c>
      <x:c r="I29" s="3" t="str">
        <x:v>DS-AUTH.NEW; company=repeat("A", 161) — đúng 161 ký tự</x:v>
      </x:c>
      <x:c r="J29" s="3" t="str">
        <x:v>1. Khôi phục bộ dữ liệu hợp lệ.
2. Chỉ thay company bằng giá trị nêu trong dữ liệu.
3. Submit và quan sát lỗi cùng lời gọi service.</x:v>
      </x:c>
      <x:c r="K29" s="3" t="str">
        <x:v>Báo lỗi tại company; không gửi mutation khi giá trị chưa hợp lệ.</x:v>
      </x:c>
      <x:c r="L29" s="3" t="str">
        <x:v>src/features/auth/schemas/signup.schema.ts:5</x:v>
      </x:c>
      <x:c r="M29" s="3" t="str">
        <x:v>Đề xuất Unit + Integration | Test liên quan, chưa xác nhận phủ ca: src/features/auth/schemas/signup.schema.test.ts</x:v>
      </x:c>
      <x:c r="N29" s="10" t="str">
        <x:v>Pass</x:v>
      </x:c>
      <x:c r="O29" s="10" t="str">
        <x:v>Assertion gắn ID đã pass qua UI/service boundary hoặc rule tương ứng; xem tên assertion trong assertions.json.</x:v>
      </x:c>
      <x:c r="P29" s="10" t="str">
        <x:v>execution/results.json → AUTH-025
execution/assertions.json</x:v>
      </x:c>
      <x:c r="Q29" s="10" t="str">
        <x:v>Codex — local automated QA</x:v>
      </x:c>
      <x:c r="R29" s="11" t="d">
        <x:v>2026-10-18T05:30:31.999Z</x:v>
      </x:c>
    </x:row>
    <x:row r="30" ht="94" customHeight="1">
      <x:c r="A30" s="3" t="str">
        <x:v>AUTH-026</x:v>
      </x:c>
      <x:c r="B30" s="3" t="str">
        <x:v>phone: 5 chữ số</x:v>
      </x:c>
      <x:c r="C30" s="3" t="str">
        <x:v>P1</x:v>
      </x:c>
      <x:c r="D30" s="3" t="str">
        <x:v>AUTH.SIGNUP</x:v>
      </x:c>
      <x:c r="E30" s="3" t="str">
        <x:v>Boundary</x:v>
      </x:c>
      <x:c r="F30" s="3" t="str">
        <x:v>Unit + Integration</x:v>
      </x:c>
      <x:c r="G30" s="3" t="str">
        <x:v>Source</x:v>
      </x:c>
      <x:c r="H30" s="3" t="str">
        <x:v>Phiên sạch (guest); locale en, lặp luồng chính ở vi; fixture DS-AUTH; mock service/API trong test frontend; email và OTP sandbox khi chạy E2E.</x:v>
      </x:c>
      <x:c r="I30" s="3" t="str">
        <x:v>DS-AUTH.NEW; phone="01111"</x:v>
      </x:c>
      <x:c r="J30" s="3" t="str">
        <x:v>1. Khôi phục bộ dữ liệu hợp lệ.
2. Chỉ thay phone bằng giá trị nêu trong dữ liệu.
3. Submit và quan sát lỗi cùng lời gọi service.</x:v>
      </x:c>
      <x:c r="K30" s="3" t="str">
        <x:v>Báo lỗi tại phone; không gửi mutation khi giá trị chưa hợp lệ.</x:v>
      </x:c>
      <x:c r="L30" s="3" t="str">
        <x:v>src/features/auth/schemas/signup.schema.ts:5</x:v>
      </x:c>
      <x:c r="M30" s="3" t="str">
        <x:v>Đề xuất Unit + Integration | Test liên quan, chưa xác nhận phủ ca: src/features/auth/schemas/signup.schema.test.ts</x:v>
      </x:c>
      <x:c r="N30" s="10" t="str">
        <x:v>Pass</x:v>
      </x:c>
      <x:c r="O30" s="10" t="str">
        <x:v>Assertion gắn ID đã pass qua UI/service boundary hoặc rule tương ứng; xem tên assertion trong assertions.json.</x:v>
      </x:c>
      <x:c r="P30" s="10" t="str">
        <x:v>execution/results.json → AUTH-026
execution/assertions.json</x:v>
      </x:c>
      <x:c r="Q30" s="10" t="str">
        <x:v>Codex — local automated QA</x:v>
      </x:c>
      <x:c r="R30" s="11" t="d">
        <x:v>2026-10-18T05:30:31.999Z</x:v>
      </x:c>
    </x:row>
    <x:row r="31" ht="94" customHeight="1">
      <x:c r="A31" s="3" t="str">
        <x:v>AUTH-027</x:v>
      </x:c>
      <x:c r="B31" s="3" t="str">
        <x:v>phone: 6 chữ số</x:v>
      </x:c>
      <x:c r="C31" s="3" t="str">
        <x:v>P1</x:v>
      </x:c>
      <x:c r="D31" s="3" t="str">
        <x:v>AUTH.SIGNUP</x:v>
      </x:c>
      <x:c r="E31" s="3" t="str">
        <x:v>Boundary</x:v>
      </x:c>
      <x:c r="F31" s="3" t="str">
        <x:v>Unit + Integration</x:v>
      </x:c>
      <x:c r="G31" s="3" t="str">
        <x:v>Source</x:v>
      </x:c>
      <x:c r="H31" s="3" t="str">
        <x:v>Phiên sạch (guest); locale en, lặp luồng chính ở vi; fixture DS-AUTH; mock service/API trong test frontend; email và OTP sandbox khi chạy E2E.</x:v>
      </x:c>
      <x:c r="I31" s="3" t="str">
        <x:v>DS-AUTH.NEW; phone="011111"</x:v>
      </x:c>
      <x:c r="J31" s="3" t="str">
        <x:v>1. Khôi phục bộ dữ liệu hợp lệ.
2. Chỉ thay phone bằng giá trị nêu trong dữ liệu.
3. Submit và quan sát lỗi cùng lời gọi service.</x:v>
      </x:c>
      <x:c r="K31" s="3" t="str">
        <x:v>Số chỉ chứa chữ số 6–15 được gửi theo chuẩn quốc tế.</x:v>
      </x:c>
      <x:c r="L31" s="3" t="str">
        <x:v>src/features/auth/schemas/signup.schema.ts:5</x:v>
      </x:c>
      <x:c r="M31" s="3" t="str">
        <x:v>Đề xuất Unit + Integration | Test liên quan, chưa xác nhận phủ ca: src/features/auth/schemas/signup.schema.test.ts</x:v>
      </x:c>
      <x:c r="N31" s="10" t="str">
        <x:v>Pass</x:v>
      </x:c>
      <x:c r="O31" s="10" t="str">
        <x:v>Assertion gắn ID đã pass qua UI/service boundary hoặc rule tương ứng; xem tên assertion trong assertions.json.</x:v>
      </x:c>
      <x:c r="P31" s="10" t="str">
        <x:v>execution/results.json → AUTH-027
execution/assertions.json</x:v>
      </x:c>
      <x:c r="Q31" s="10" t="str">
        <x:v>Codex — local automated QA</x:v>
      </x:c>
      <x:c r="R31" s="11" t="d">
        <x:v>2026-10-18T05:30:31.999Z</x:v>
      </x:c>
    </x:row>
    <x:row r="32" ht="94" customHeight="1">
      <x:c r="A32" s="3" t="str">
        <x:v>AUTH-028</x:v>
      </x:c>
      <x:c r="B32" s="3" t="str">
        <x:v>phone: 15 chữ số</x:v>
      </x:c>
      <x:c r="C32" s="3" t="str">
        <x:v>P1</x:v>
      </x:c>
      <x:c r="D32" s="3" t="str">
        <x:v>AUTH.SIGNUP</x:v>
      </x:c>
      <x:c r="E32" s="3" t="str">
        <x:v>Boundary</x:v>
      </x:c>
      <x:c r="F32" s="3" t="str">
        <x:v>Unit + Integration</x:v>
      </x:c>
      <x:c r="G32" s="3" t="str">
        <x:v>Source</x:v>
      </x:c>
      <x:c r="H32" s="3" t="str">
        <x:v>Phiên sạch (guest); locale en, lặp luồng chính ở vi; fixture DS-AUTH; mock service/API trong test frontend; email và OTP sandbox khi chạy E2E.</x:v>
      </x:c>
      <x:c r="I32" s="3" t="str">
        <x:v>DS-AUTH.NEW; phone="011111111111111"</x:v>
      </x:c>
      <x:c r="J32" s="3" t="str">
        <x:v>1. Khôi phục bộ dữ liệu hợp lệ.
2. Chỉ thay phone bằng giá trị nêu trong dữ liệu.
3. Submit và quan sát lỗi cùng lời gọi service.</x:v>
      </x:c>
      <x:c r="K32" s="3" t="str">
        <x:v>Số chỉ chứa chữ số 6–15 được gửi theo chuẩn quốc tế.</x:v>
      </x:c>
      <x:c r="L32" s="3" t="str">
        <x:v>src/features/auth/schemas/signup.schema.ts:5</x:v>
      </x:c>
      <x:c r="M32" s="3" t="str">
        <x:v>Đề xuất Unit + Integration | Test liên quan, chưa xác nhận phủ ca: src/features/auth/schemas/signup.schema.test.ts</x:v>
      </x:c>
      <x:c r="N32" s="10" t="str">
        <x:v>Pass</x:v>
      </x:c>
      <x:c r="O32" s="10" t="str">
        <x:v>Assertion gắn ID đã pass qua UI/service boundary hoặc rule tương ứng; xem tên assertion trong assertions.json.</x:v>
      </x:c>
      <x:c r="P32" s="10" t="str">
        <x:v>execution/results.json → AUTH-028
execution/assertions.json</x:v>
      </x:c>
      <x:c r="Q32" s="10" t="str">
        <x:v>Codex — local automated QA</x:v>
      </x:c>
      <x:c r="R32" s="11" t="d">
        <x:v>2026-10-18T05:30:31.999Z</x:v>
      </x:c>
    </x:row>
    <x:row r="33" ht="94" customHeight="1">
      <x:c r="A33" s="3" t="str">
        <x:v>AUTH-029</x:v>
      </x:c>
      <x:c r="B33" s="3" t="str">
        <x:v>phone: 16 chữ số</x:v>
      </x:c>
      <x:c r="C33" s="3" t="str">
        <x:v>P1</x:v>
      </x:c>
      <x:c r="D33" s="3" t="str">
        <x:v>AUTH.SIGNUP</x:v>
      </x:c>
      <x:c r="E33" s="3" t="str">
        <x:v>Boundary</x:v>
      </x:c>
      <x:c r="F33" s="3" t="str">
        <x:v>Unit + Integration</x:v>
      </x:c>
      <x:c r="G33" s="3" t="str">
        <x:v>Source</x:v>
      </x:c>
      <x:c r="H33" s="3" t="str">
        <x:v>Phiên sạch (guest); locale en, lặp luồng chính ở vi; fixture DS-AUTH; mock service/API trong test frontend; email và OTP sandbox khi chạy E2E.</x:v>
      </x:c>
      <x:c r="I33" s="3" t="str">
        <x:v>DS-AUTH.NEW; phone="0111111111111111"</x:v>
      </x:c>
      <x:c r="J33" s="3" t="str">
        <x:v>1. Khôi phục bộ dữ liệu hợp lệ.
2. Chỉ thay phone bằng giá trị nêu trong dữ liệu.
3. Submit và quan sát lỗi cùng lời gọi service.</x:v>
      </x:c>
      <x:c r="K33" s="3" t="str">
        <x:v>Báo lỗi tại phone; không gửi mutation khi giá trị chưa hợp lệ.</x:v>
      </x:c>
      <x:c r="L33" s="3" t="str">
        <x:v>src/features/auth/schemas/signup.schema.ts:5</x:v>
      </x:c>
      <x:c r="M33" s="3" t="str">
        <x:v>Đề xuất Unit + Integration | Test liên quan, chưa xác nhận phủ ca: src/features/auth/schemas/signup.schema.test.ts</x:v>
      </x:c>
      <x:c r="N33" s="10" t="str">
        <x:v>Pass</x:v>
      </x:c>
      <x:c r="O33" s="10" t="str">
        <x:v>Assertion gắn ID đã pass qua UI/service boundary hoặc rule tương ứng; xem tên assertion trong assertions.json.</x:v>
      </x:c>
      <x:c r="P33" s="10" t="str">
        <x:v>execution/results.json → AUTH-029
execution/assertions.json</x:v>
      </x:c>
      <x:c r="Q33" s="10" t="str">
        <x:v>Codex — local automated QA</x:v>
      </x:c>
      <x:c r="R33" s="11" t="d">
        <x:v>2026-10-18T05:30:31.999Z</x:v>
      </x:c>
    </x:row>
    <x:row r="34" ht="94" customHeight="1">
      <x:c r="A34" s="3" t="str">
        <x:v>AUTH-030</x:v>
      </x:c>
      <x:c r="B34" s="3" t="str">
        <x:v>phone: 090 123-456</x:v>
      </x:c>
      <x:c r="C34" s="3" t="str">
        <x:v>P1</x:v>
      </x:c>
      <x:c r="D34" s="3" t="str">
        <x:v>AUTH.SIGNUP</x:v>
      </x:c>
      <x:c r="E34" s="3" t="str">
        <x:v>Boundary</x:v>
      </x:c>
      <x:c r="F34" s="3" t="str">
        <x:v>Unit + Integration</x:v>
      </x:c>
      <x:c r="G34" s="3" t="str">
        <x:v>Source</x:v>
      </x:c>
      <x:c r="H34" s="3" t="str">
        <x:v>Phiên sạch (guest); locale en, lặp luồng chính ở vi; fixture DS-AUTH; mock service/API trong test frontend; email và OTP sandbox khi chạy E2E.</x:v>
      </x:c>
      <x:c r="I34" s="3" t="str">
        <x:v>DS-AUTH.NEW; phone="090 123-456"</x:v>
      </x:c>
      <x:c r="J34" s="3" t="str">
        <x:v>1. Khôi phục bộ dữ liệu hợp lệ.
2. Chỉ thay phone bằng giá trị nêu trong dữ liệu.
3. Submit và quan sát lỗi cùng lời gọi service.</x:v>
      </x:c>
      <x:c r="K34" s="3" t="str">
        <x:v>Báo lỗi tại phone; không gửi mutation khi giá trị chưa hợp lệ.</x:v>
      </x:c>
      <x:c r="L34" s="3" t="str">
        <x:v>src/features/auth/schemas/signup.schema.ts:5</x:v>
      </x:c>
      <x:c r="M34" s="3" t="str">
        <x:v>Đề xuất Unit + Integration | Test liên quan, chưa xác nhận phủ ca: src/features/auth/schemas/signup.schema.test.ts</x:v>
      </x:c>
      <x:c r="N34" s="10" t="str">
        <x:v>Pass</x:v>
      </x:c>
      <x:c r="O34" s="10" t="str">
        <x:v>Assertion gắn ID đã pass qua UI/service boundary hoặc rule tương ứng; xem tên assertion trong assertions.json.</x:v>
      </x:c>
      <x:c r="P34" s="10" t="str">
        <x:v>execution/results.json → AUTH-030
execution/assertions.json</x:v>
      </x:c>
      <x:c r="Q34" s="10" t="str">
        <x:v>Codex — local automated QA</x:v>
      </x:c>
      <x:c r="R34" s="11" t="d">
        <x:v>2026-10-18T05:30:31.999Z</x:v>
      </x:c>
    </x:row>
    <x:row r="35" ht="94" customHeight="1">
      <x:c r="A35" s="3" t="str">
        <x:v>AUTH-031</x:v>
      </x:c>
      <x:c r="B35" s="3" t="str">
        <x:v>Chuẩn hóa số điện thoại quốc tế</x:v>
      </x:c>
      <x:c r="C35" s="3" t="str">
        <x:v>P1</x:v>
      </x:c>
      <x:c r="D35" s="3" t="str">
        <x:v>AUTH.SIGNUP</x:v>
      </x:c>
      <x:c r="E35" s="3" t="str">
        <x:v>Contract</x:v>
      </x:c>
      <x:c r="F35" s="3" t="str">
        <x:v>Integration</x:v>
      </x:c>
      <x:c r="G35" s="3" t="str">
        <x:v>Source</x:v>
      </x:c>
      <x:c r="H35" s="3" t="str">
        <x:v>Phiên sạch (guest); locale en, lặp luồng chính ở vi; fixture DS-AUTH; mock service/API trong test frontend; email và OTP sandbox khi chạy E2E.</x:v>
      </x:c>
      <x:c r="I35" s="3" t="str">
        <x:v>phoneCode=+84; phone=0901234567; country=VN</x:v>
      </x:c>
      <x:c r="J35" s="3" t="str">
        <x:v>1. Chọn mã gọi và quốc gia.
2. Submit bước 1.</x:v>
      </x:c>
      <x:c r="K35" s="3" t="str">
        <x:v>Payload organization từ company; phone=+84901234567; country=VN, giữ region/address; không gửi phoneCode riêng.</x:v>
      </x:c>
      <x:c r="L35" s="3" t="str">
        <x:v>src/features/auth/components/signup-form.tsx:26
src/features/auth/api/auth.service.ts:31
src/features/auth/schemas/signup.schema.ts:5</x:v>
      </x:c>
      <x:c r="M35" s="3" t="str">
        <x:v>Đề xuất Integration | Test liên quan, chưa xác nhận phủ ca: src/features/auth/components/signup-form.test.tsx, src/features/auth/api/auth.service.test.ts</x:v>
      </x:c>
      <x:c r="N35" s="10" t="str">
        <x:v>Pass</x:v>
      </x:c>
      <x:c r="O35" s="10" t="str">
        <x:v>Service chuẩn hóa phoneCode +84 với national phone có số 0 đầu; request dùng contract signup start.</x:v>
      </x:c>
      <x:c r="P35" s="10" t="str">
        <x:v>execution/results.json → AUTH-031
execution/assertions.json</x:v>
      </x:c>
      <x:c r="Q35" s="10" t="str">
        <x:v>Codex — local automated QA</x:v>
      </x:c>
      <x:c r="R35" s="11" t="d">
        <x:v>2026-10-18T05:30:31.999Z</x:v>
      </x:c>
    </x:row>
    <x:row r="36" ht="94" customHeight="1">
      <x:c r="A36" s="3" t="str">
        <x:v>AUTH-032</x:v>
      </x:c>
      <x:c r="B36" s="3" t="str">
        <x:v>Country phải là mã ISO hai chữ hoa</x:v>
      </x:c>
      <x:c r="C36" s="3" t="str">
        <x:v>P1</x:v>
      </x:c>
      <x:c r="D36" s="3" t="str">
        <x:v>AUTH.SIGNUP</x:v>
      </x:c>
      <x:c r="E36" s="3" t="str">
        <x:v>Boundary</x:v>
      </x:c>
      <x:c r="F36" s="3" t="str">
        <x:v>Unit</x:v>
      </x:c>
      <x:c r="G36" s="3" t="str">
        <x:v>Source</x:v>
      </x:c>
      <x:c r="H36" s="3" t="str">
        <x:v>Phiên sạch (guest); locale en, lặp luồng chính ở vi; fixture DS-AUTH; mock service/API trong test frontend; email và OTP sandbox khi chạy E2E.</x:v>
      </x:c>
      <x:c r="I36" s="3" t="str">
        <x:v>country=vn, Vietnam, VNM, VN</x:v>
      </x:c>
      <x:c r="J36" s="3" t="str">
        <x:v>1. Parse lần lượt từng giá trị với dữ liệu khác hợp lệ.</x:v>
      </x:c>
      <x:c r="K36" s="3" t="str">
        <x:v>Chỉ VN đạt schema hình dạng; kiểm tra danh sách quốc gia thực tế ở shared CountrySelect. Không suy diễn schema đã kiểm tra quốc gia tồn tại.</x:v>
      </x:c>
      <x:c r="L36" s="3" t="str">
        <x:v>src/features/auth/components/signup-form.tsx:26
src/features/auth/api/auth.service.ts:31
src/features/auth/schemas/signup.schema.ts:5</x:v>
      </x:c>
      <x:c r="M36" s="3" t="str">
        <x:v>Đề xuất Unit | Test liên quan, chưa xác nhận phủ ca: src/features/auth/components/signup-form.test.tsx, src/features/auth/api/auth.service.test.ts</x:v>
      </x:c>
      <x:c r="N36" s="10" t="str">
        <x:v>Not run</x:v>
      </x:c>
      <x:c r="O36" s="10" t="str">
        <x:v>Chưa thực thi đầy đủ các bước/expected của ca. Các test liên quan đã chạy, nhưng chưa có assertion đủ để gán Pass.</x:v>
      </x:c>
      <x:c r="P36" s="10" t="str">
        <x:v>execution/results.json → AUTH-032
execution/assertions.json</x:v>
      </x:c>
      <x:c r="Q36" s="10" t="str"/>
      <x:c r="R36" s="11"/>
    </x:row>
    <x:row r="37" ht="94" customHeight="1">
      <x:c r="A37" s="3" t="str">
        <x:v>AUTH-033</x:v>
      </x:c>
      <x:c r="B37" s="3" t="str">
        <x:v>Email đã tồn tại</x:v>
      </x:c>
      <x:c r="C37" s="3" t="str">
        <x:v>P1</x:v>
      </x:c>
      <x:c r="D37" s="3" t="str">
        <x:v>AUTH.SIGNUP</x:v>
      </x:c>
      <x:c r="E37" s="3" t="str">
        <x:v>Negative</x:v>
      </x:c>
      <x:c r="F37" s="3" t="str">
        <x:v>Integration</x:v>
      </x:c>
      <x:c r="G37" s="3" t="str">
        <x:v>Source</x:v>
      </x:c>
      <x:c r="H37" s="3" t="str">
        <x:v>Phiên sạch (guest); locale en, lặp luồng chính ở vi; fixture DS-AUTH; mock service/API trong test frontend; email và OTP sandbox khi chạy E2E.</x:v>
      </x:c>
      <x:c r="I37" s="3" t="str">
        <x:v>start=409 hoặc 422 có message</x:v>
      </x:c>
      <x:c r="J37" s="3" t="str">
        <x:v>1. Submit account đã dùng email.
2. Sửa email và retry.</x:v>
      </x:c>
      <x:c r="K37" s="3" t="str">
        <x:v>Hiển thị lỗi; không tiến tới OTP; giữ dữ liệu để sửa; retry chủ động thành công.</x:v>
      </x:c>
      <x:c r="L37" s="3" t="str">
        <x:v>src/features/auth/components/signup-form.tsx:26
src/features/auth/api/auth.service.ts:31
src/features/auth/schemas/signup.schema.ts:5</x:v>
      </x:c>
      <x:c r="M37" s="3" t="str">
        <x:v>Đề xuất Integration | Test liên quan, chưa xác nhận phủ ca: src/features/auth/components/signup-form.test.tsx, src/features/auth/api/auth.service.test.ts</x:v>
      </x:c>
      <x:c r="N37" s="10" t="str">
        <x:v>Not run</x:v>
      </x:c>
      <x:c r="O37" s="10" t="str">
        <x:v>Chưa thực thi đầy đủ các bước/expected của ca. Các test liên quan đã chạy, nhưng chưa có assertion đủ để gán Pass.</x:v>
      </x:c>
      <x:c r="P37" s="10" t="str">
        <x:v>execution/results.json → AUTH-033
execution/assertions.json</x:v>
      </x:c>
      <x:c r="Q37" s="10" t="str"/>
      <x:c r="R37" s="11"/>
    </x:row>
    <x:row r="38" ht="94" customHeight="1">
      <x:c r="A38" s="3" t="str">
        <x:v>AUTH-034</x:v>
      </x:c>
      <x:c r="B38" s="3" t="str">
        <x:v>Quay lại account rồi gửi lại</x:v>
      </x:c>
      <x:c r="C38" s="3" t="str">
        <x:v>P1</x:v>
      </x:c>
      <x:c r="D38" s="3" t="str">
        <x:v>AUTH.SIGNUP</x:v>
      </x:c>
      <x:c r="E38" s="3" t="str">
        <x:v>Functional</x:v>
      </x:c>
      <x:c r="F38" s="3" t="str">
        <x:v>Integration</x:v>
      </x:c>
      <x:c r="G38" s="3" t="str">
        <x:v>Source</x:v>
      </x:c>
      <x:c r="H38" s="3" t="str">
        <x:v>Phiên sạch (guest); locale en, lặp luồng chính ở vi; fixture DS-AUTH; mock service/API trong test frontend; email và OTP sandbox khi chạy E2E.</x:v>
      </x:c>
      <x:c r="I38" s="3" t="str">
        <x:v>Bước OTP đang hoạt động</x:v>
      </x:c>
      <x:c r="J38" s="3" t="str">
        <x:v>1. Chọn Back.
2. Đổi email.
3. Submit account.</x:v>
      </x:c>
      <x:c r="K38" s="3" t="str">
        <x:v>Giữ thông tin account để chỉnh; challenge mới thay challenge cũ; xóa OTP và password/mutation cũ.</x:v>
      </x:c>
      <x:c r="L38" s="3" t="str">
        <x:v>src/features/auth/components/signup-form.tsx:26
src/features/auth/api/auth.service.ts:31
src/features/auth/schemas/signup.schema.ts:5</x:v>
      </x:c>
      <x:c r="M38" s="3" t="str">
        <x:v>Đề xuất Integration | Test liên quan, chưa xác nhận phủ ca: src/features/auth/components/signup-form.test.tsx, src/features/auth/api/auth.service.test.ts</x:v>
      </x:c>
      <x:c r="N38" s="10" t="str">
        <x:v>Not run</x:v>
      </x:c>
      <x:c r="O38" s="10" t="str">
        <x:v>Chưa thực thi đầy đủ các bước/expected của ca. Các test liên quan đã chạy, nhưng chưa có assertion đủ để gán Pass.</x:v>
      </x:c>
      <x:c r="P38" s="10" t="str">
        <x:v>execution/results.json → AUTH-034
execution/assertions.json</x:v>
      </x:c>
      <x:c r="Q38" s="10" t="str"/>
      <x:c r="R38" s="11"/>
    </x:row>
    <x:row r="39" ht="94" customHeight="1">
      <x:c r="A39" s="3" t="str">
        <x:v>AUTH-035</x:v>
      </x:c>
      <x:c r="B39" s="3" t="str">
        <x:v>Nhập và tự chuyển focus</x:v>
      </x:c>
      <x:c r="C39" s="3" t="str">
        <x:v>P1</x:v>
      </x:c>
      <x:c r="D39" s="3" t="str">
        <x:v>AUTH.OTP</x:v>
      </x:c>
      <x:c r="E39" s="3" t="str">
        <x:v>Accessibility</x:v>
      </x:c>
      <x:c r="F39" s="3" t="str">
        <x:v>Integration</x:v>
      </x:c>
      <x:c r="G39" s="3" t="str">
        <x:v>Source</x:v>
      </x:c>
      <x:c r="H39" s="3" t="str">
        <x:v>Phiên sạch (guest); locale en, lặp luồng chính ở vi; fixture DS-AUTH; mock service/API trong test frontend; email và OTP sandbox khi chạy E2E.</x:v>
      </x:c>
      <x:c r="I39" s="3" t="str">
        <x:v>code=123456</x:v>
      </x:c>
      <x:c r="J39" s="3" t="str">
        <x:v>1. Nhập từng chữ số.
2. Quan sát focus và Verify.</x:v>
      </x:c>
      <x:c r="K39" s="3" t="str">
        <x:v>Từng ô chứa một chữ số; focus đi tới ô kế tiếp; Verify chỉ bật khi đủ 6 chữ số hợp lệ.</x:v>
      </x:c>
      <x:c r="L39" s="3" t="str">
        <x:v>src/features/auth/components/signup-verification-form.tsx:36
src/features/auth/schemas/signup.schema.ts:5
src/features/auth/schemas/forgot-password.schema.ts:10</x:v>
      </x:c>
      <x:c r="M39" s="3" t="str">
        <x:v>Đề xuất Integration | Test liên quan, chưa xác nhận phủ ca: src/features/auth/schemas/signup.schema.test.ts, src/features/auth/schemas/forgot-password.schema.test.ts</x:v>
      </x:c>
      <x:c r="N39" s="10" t="str">
        <x:v>Pass</x:v>
      </x:c>
      <x:c r="O39" s="10" t="str">
        <x:v>Assertion gắn ID đã pass qua UI/service boundary hoặc rule tương ứng; xem tên assertion trong assertions.json.</x:v>
      </x:c>
      <x:c r="P39" s="10" t="str">
        <x:v>execution/results.json → AUTH-035
execution/assertions.json</x:v>
      </x:c>
      <x:c r="Q39" s="10" t="str">
        <x:v>Codex — local automated QA</x:v>
      </x:c>
      <x:c r="R39" s="11" t="d">
        <x:v>2026-10-18T05:30:31.999Z</x:v>
      </x:c>
    </x:row>
    <x:row r="40" ht="94" customHeight="1">
      <x:c r="A40" s="3" t="str">
        <x:v>AUTH-036</x:v>
      </x:c>
      <x:c r="B40" s="3" t="str">
        <x:v>Dán mã vào ô đầu hoặc giữa</x:v>
      </x:c>
      <x:c r="C40" s="3" t="str">
        <x:v>P1</x:v>
      </x:c>
      <x:c r="D40" s="3" t="str">
        <x:v>AUTH.OTP</x:v>
      </x:c>
      <x:c r="E40" s="3" t="str">
        <x:v>Boundary</x:v>
      </x:c>
      <x:c r="F40" s="3" t="str">
        <x:v>Integration</x:v>
      </x:c>
      <x:c r="G40" s="3" t="str">
        <x:v>Source</x:v>
      </x:c>
      <x:c r="H40" s="3" t="str">
        <x:v>Phiên sạch (guest); locale en, lặp luồng chính ở vi; fixture DS-AUTH; mock service/API trong test frontend; email và OTP sandbox khi chạy E2E.</x:v>
      </x:c>
      <x:c r="I40" s="3" t="str">
        <x:v>clipboard="12a34567"; vị trí=0 và 3</x:v>
      </x:c>
      <x:c r="J40" s="3" t="str">
        <x:v>1. Dán vào ô đầu.
2. Reset, dán vào ô thứ tư.</x:v>
      </x:c>
      <x:c r="K40" s="3" t="str">
        <x:v>Loại ký tự không phải số, tối đa 6 chữ số và giới hạn phần còn lại từ vị trí dán; không tràn ô.</x:v>
      </x:c>
      <x:c r="L40" s="3" t="str">
        <x:v>src/features/auth/components/signup-verification-form.tsx:36
src/features/auth/schemas/signup.schema.ts:5
src/features/auth/schemas/forgot-password.schema.ts:10</x:v>
      </x:c>
      <x:c r="M40" s="3" t="str">
        <x:v>Đề xuất Integration | Test liên quan, chưa xác nhận phủ ca: src/features/auth/schemas/signup.schema.test.ts, src/features/auth/schemas/forgot-password.schema.test.ts</x:v>
      </x:c>
      <x:c r="N40" s="10" t="str">
        <x:v>Pass</x:v>
      </x:c>
      <x:c r="O40" s="10" t="str">
        <x:v>Assertion gắn ID đã pass qua UI/service boundary hoặc rule tương ứng; xem tên assertion trong assertions.json.</x:v>
      </x:c>
      <x:c r="P40" s="10" t="str">
        <x:v>execution/results.json → AUTH-036
execution/assertions.json</x:v>
      </x:c>
      <x:c r="Q40" s="10" t="str">
        <x:v>Codex — local automated QA</x:v>
      </x:c>
      <x:c r="R40" s="11" t="d">
        <x:v>2026-10-18T05:30:31.999Z</x:v>
      </x:c>
    </x:row>
    <x:row r="41" ht="94" customHeight="1">
      <x:c r="A41" s="3" t="str">
        <x:v>AUTH-037</x:v>
      </x:c>
      <x:c r="B41" s="3" t="str">
        <x:v>Sửa/xóa chữ số giữa mã</x:v>
      </x:c>
      <x:c r="C41" s="3" t="str">
        <x:v>P1</x:v>
      </x:c>
      <x:c r="D41" s="3" t="str">
        <x:v>AUTH.OTP</x:v>
      </x:c>
      <x:c r="E41" s="3" t="str">
        <x:v>Regression</x:v>
      </x:c>
      <x:c r="F41" s="3" t="str">
        <x:v>Integration</x:v>
      </x:c>
      <x:c r="G41" s="3" t="str">
        <x:v>Quality target</x:v>
      </x:c>
      <x:c r="H41" s="3" t="str">
        <x:v>Phiên sạch (guest); locale en, lặp luồng chính ở vi; fixture DS-AUTH; mock service/API trong test frontend; email và OTP sandbox khi chạy E2E.</x:v>
      </x:c>
      <x:c r="I41" s="3" t="str">
        <x:v>code=123456; sửa ô3, xóa ô3; Backspace ô rỗng</x:v>
      </x:c>
      <x:c r="J41" s="3" t="str">
        <x:v>1. Thay/xóa chữ số ở giữa.
2. Dùng ArrowLeft/Right và Backspace.
3. Kiểm tra mã gửi verify.</x:v>
      </x:c>
      <x:c r="K41" s="3" t="str">
        <x:v>Mã gửi đúng thứ tự người dùng nhìn thấy; không dịch chữ số ngoài ý muốn; focus di chuyển hợp lý.
Dependency / lưu ý: Cần kiểm tra việc compact khoảng trắng trong changeOtpDigit.</x:v>
      </x:c>
      <x:c r="L41" s="3" t="str">
        <x:v>src/features/auth/components/signup-verification-form.tsx:36
src/features/auth/schemas/signup.schema.ts:5
src/features/auth/schemas/forgot-password.schema.ts:10</x:v>
      </x:c>
      <x:c r="M41" s="3" t="str">
        <x:v>Đề xuất Integration | Test liên quan, chưa xác nhận phủ ca: src/features/auth/schemas/signup.schema.test.ts, src/features/auth/schemas/forgot-password.schema.test.ts</x:v>
      </x:c>
      <x:c r="N41" s="10" t="str">
        <x:v>Pass</x:v>
      </x:c>
      <x:c r="O41" s="10" t="str">
        <x:v>Assertion gắn ID đã pass qua UI/service boundary hoặc rule tương ứng; xem tên assertion trong assertions.json.</x:v>
      </x:c>
      <x:c r="P41" s="10" t="str">
        <x:v>FIX-01
execution/results.json → AUTH-037
execution/assertions.json</x:v>
      </x:c>
      <x:c r="Q41" s="10" t="str">
        <x:v>Codex — local automated QA</x:v>
      </x:c>
      <x:c r="R41" s="11" t="d">
        <x:v>2026-10-18T05:30:31.999Z</x:v>
      </x:c>
    </x:row>
    <x:row r="42" ht="94" customHeight="1">
      <x:c r="A42" s="3" t="str">
        <x:v>AUTH-038</x:v>
      </x:c>
      <x:c r="B42" s="3" t="str">
        <x:v>code: 5 chữ số</x:v>
      </x:c>
      <x:c r="C42" s="3" t="str">
        <x:v>P1</x:v>
      </x:c>
      <x:c r="D42" s="3" t="str">
        <x:v>AUTH.OTP</x:v>
      </x:c>
      <x:c r="E42" s="3" t="str">
        <x:v>Boundary</x:v>
      </x:c>
      <x:c r="F42" s="3" t="str">
        <x:v>Unit + Integration</x:v>
      </x:c>
      <x:c r="G42" s="3" t="str">
        <x:v>Source</x:v>
      </x:c>
      <x:c r="H42" s="3" t="str">
        <x:v>Phiên sạch (guest); locale en, lặp luồng chính ở vi; fixture DS-AUTH; mock service/API trong test frontend; email và OTP sandbox khi chạy E2E.</x:v>
      </x:c>
      <x:c r="I42" s="3" t="str">
        <x:v>challengeId hợp lệ; code="01111"</x:v>
      </x:c>
      <x:c r="J42" s="3" t="str">
        <x:v>1. Khôi phục bộ dữ liệu hợp lệ.
2. Chỉ thay code bằng giá trị nêu trong dữ liệu.
3. Submit và quan sát lỗi cùng lời gọi service.</x:v>
      </x:c>
      <x:c r="K42" s="3" t="str">
        <x:v>Báo lỗi tại code; không gửi mutation khi giá trị chưa hợp lệ.</x:v>
      </x:c>
      <x:c r="L42" s="3" t="str">
        <x:v>src/features/auth/schemas/signup.schema.ts:5
src/features/auth/schemas/forgot-password.schema.ts:10</x:v>
      </x:c>
      <x:c r="M42" s="3" t="str">
        <x:v>Đề xuất Unit + Integration | Test liên quan, chưa xác nhận phủ ca: src/features/auth/schemas/signup.schema.test.ts, src/features/auth/schemas/forgot-password.schema.test.ts</x:v>
      </x:c>
      <x:c r="N42" s="10" t="str">
        <x:v>Pass</x:v>
      </x:c>
      <x:c r="O42" s="10" t="str">
        <x:v>Assertion gắn ID đã pass qua UI/service boundary hoặc rule tương ứng; xem tên assertion trong assertions.json.</x:v>
      </x:c>
      <x:c r="P42" s="10" t="str">
        <x:v>execution/results.json → AUTH-038
execution/assertions.json</x:v>
      </x:c>
      <x:c r="Q42" s="10" t="str">
        <x:v>Codex — local automated QA</x:v>
      </x:c>
      <x:c r="R42" s="11" t="d">
        <x:v>2026-10-18T05:30:31.999Z</x:v>
      </x:c>
    </x:row>
    <x:row r="43" ht="94" customHeight="1">
      <x:c r="A43" s="3" t="str">
        <x:v>AUTH-039</x:v>
      </x:c>
      <x:c r="B43" s="3" t="str">
        <x:v>code: 6 chữ số</x:v>
      </x:c>
      <x:c r="C43" s="3" t="str">
        <x:v>P1</x:v>
      </x:c>
      <x:c r="D43" s="3" t="str">
        <x:v>AUTH.OTP</x:v>
      </x:c>
      <x:c r="E43" s="3" t="str">
        <x:v>Boundary</x:v>
      </x:c>
      <x:c r="F43" s="3" t="str">
        <x:v>Unit + Integration</x:v>
      </x:c>
      <x:c r="G43" s="3" t="str">
        <x:v>Source</x:v>
      </x:c>
      <x:c r="H43" s="3" t="str">
        <x:v>Phiên sạch (guest); locale en, lặp luồng chính ở vi; fixture DS-AUTH; mock service/API trong test frontend; email và OTP sandbox khi chạy E2E.</x:v>
      </x:c>
      <x:c r="I43" s="3" t="str">
        <x:v>challengeId hợp lệ; code="011111"</x:v>
      </x:c>
      <x:c r="J43" s="3" t="str">
        <x:v>1. Khôi phục bộ dữ liệu hợp lệ.
2. Chỉ thay code bằng giá trị nêu trong dữ liệu.
3. Submit và quan sát lỗi cùng lời gọi service.</x:v>
      </x:c>
      <x:c r="K43" s="3" t="str">
        <x:v>Service nhận chuỗi đúng 6 chữ số; OTP có số 0 đầu không bị mất.</x:v>
      </x:c>
      <x:c r="L43" s="3" t="str">
        <x:v>src/features/auth/schemas/signup.schema.ts:5
src/features/auth/schemas/forgot-password.schema.ts:10</x:v>
      </x:c>
      <x:c r="M43" s="3" t="str">
        <x:v>Đề xuất Unit + Integration | Test liên quan, chưa xác nhận phủ ca: src/features/auth/schemas/signup.schema.test.ts, src/features/auth/schemas/forgot-password.schema.test.ts</x:v>
      </x:c>
      <x:c r="N43" s="10" t="str">
        <x:v>Pass</x:v>
      </x:c>
      <x:c r="O43" s="10" t="str">
        <x:v>Assertion gắn ID đã pass qua UI/service boundary hoặc rule tương ứng; xem tên assertion trong assertions.json.</x:v>
      </x:c>
      <x:c r="P43" s="10" t="str">
        <x:v>execution/results.json → AUTH-039
execution/assertions.json</x:v>
      </x:c>
      <x:c r="Q43" s="10" t="str">
        <x:v>Codex — local automated QA</x:v>
      </x:c>
      <x:c r="R43" s="11" t="d">
        <x:v>2026-10-18T05:30:31.999Z</x:v>
      </x:c>
    </x:row>
    <x:row r="44" ht="94" customHeight="1">
      <x:c r="A44" s="3" t="str">
        <x:v>AUTH-040</x:v>
      </x:c>
      <x:c r="B44" s="3" t="str">
        <x:v>code: 7 chữ số</x:v>
      </x:c>
      <x:c r="C44" s="3" t="str">
        <x:v>P1</x:v>
      </x:c>
      <x:c r="D44" s="3" t="str">
        <x:v>AUTH.OTP</x:v>
      </x:c>
      <x:c r="E44" s="3" t="str">
        <x:v>Boundary</x:v>
      </x:c>
      <x:c r="F44" s="3" t="str">
        <x:v>Unit + Integration</x:v>
      </x:c>
      <x:c r="G44" s="3" t="str">
        <x:v>Source</x:v>
      </x:c>
      <x:c r="H44" s="3" t="str">
        <x:v>Phiên sạch (guest); locale en, lặp luồng chính ở vi; fixture DS-AUTH; mock service/API trong test frontend; email và OTP sandbox khi chạy E2E.</x:v>
      </x:c>
      <x:c r="I44" s="3" t="str">
        <x:v>challengeId hợp lệ; code="0111111"</x:v>
      </x:c>
      <x:c r="J44" s="3" t="str">
        <x:v>1. Khôi phục bộ dữ liệu hợp lệ.
2. Chỉ thay code bằng giá trị nêu trong dữ liệu.
3. Submit và quan sát lỗi cùng lời gọi service.</x:v>
      </x:c>
      <x:c r="K44" s="3" t="str">
        <x:v>Báo lỗi tại code; không gửi mutation khi giá trị chưa hợp lệ.</x:v>
      </x:c>
      <x:c r="L44" s="3" t="str">
        <x:v>src/features/auth/schemas/signup.schema.ts:5
src/features/auth/schemas/forgot-password.schema.ts:10</x:v>
      </x:c>
      <x:c r="M44" s="3" t="str">
        <x:v>Đề xuất Unit + Integration | Test liên quan, chưa xác nhận phủ ca: src/features/auth/schemas/signup.schema.test.ts, src/features/auth/schemas/forgot-password.schema.test.ts</x:v>
      </x:c>
      <x:c r="N44" s="10" t="str">
        <x:v>Pass</x:v>
      </x:c>
      <x:c r="O44" s="10" t="str">
        <x:v>Assertion gắn ID đã pass qua UI/service boundary hoặc rule tương ứng; xem tên assertion trong assertions.json.</x:v>
      </x:c>
      <x:c r="P44" s="10" t="str">
        <x:v>execution/results.json → AUTH-040
execution/assertions.json</x:v>
      </x:c>
      <x:c r="Q44" s="10" t="str">
        <x:v>Codex — local automated QA</x:v>
      </x:c>
      <x:c r="R44" s="11" t="d">
        <x:v>2026-10-18T05:30:31.999Z</x:v>
      </x:c>
    </x:row>
    <x:row r="45" ht="94" customHeight="1">
      <x:c r="A45" s="3" t="str">
        <x:v>AUTH-041</x:v>
      </x:c>
      <x:c r="B45" s="3" t="str">
        <x:v>code: 12a456</x:v>
      </x:c>
      <x:c r="C45" s="3" t="str">
        <x:v>P1</x:v>
      </x:c>
      <x:c r="D45" s="3" t="str">
        <x:v>AUTH.OTP</x:v>
      </x:c>
      <x:c r="E45" s="3" t="str">
        <x:v>Boundary</x:v>
      </x:c>
      <x:c r="F45" s="3" t="str">
        <x:v>Unit + Integration</x:v>
      </x:c>
      <x:c r="G45" s="3" t="str">
        <x:v>Source</x:v>
      </x:c>
      <x:c r="H45" s="3" t="str">
        <x:v>Phiên sạch (guest); locale en, lặp luồng chính ở vi; fixture DS-AUTH; mock service/API trong test frontend; email và OTP sandbox khi chạy E2E.</x:v>
      </x:c>
      <x:c r="I45" s="3" t="str">
        <x:v>challengeId hợp lệ; code="12a456"</x:v>
      </x:c>
      <x:c r="J45" s="3" t="str">
        <x:v>1. Khôi phục bộ dữ liệu hợp lệ.
2. Chỉ thay code bằng giá trị nêu trong dữ liệu.
3. Submit và quan sát lỗi cùng lời gọi service.</x:v>
      </x:c>
      <x:c r="K45" s="3" t="str">
        <x:v>Báo lỗi tại code; không gửi mutation khi giá trị chưa hợp lệ.</x:v>
      </x:c>
      <x:c r="L45" s="3" t="str">
        <x:v>src/features/auth/schemas/signup.schema.ts:5
src/features/auth/schemas/forgot-password.schema.ts:10</x:v>
      </x:c>
      <x:c r="M45" s="3" t="str">
        <x:v>Đề xuất Unit + Integration | Test liên quan, chưa xác nhận phủ ca: src/features/auth/schemas/signup.schema.test.ts, src/features/auth/schemas/forgot-password.schema.test.ts</x:v>
      </x:c>
      <x:c r="N45" s="10" t="str">
        <x:v>Pass</x:v>
      </x:c>
      <x:c r="O45" s="10" t="str">
        <x:v>Assertion gắn ID đã pass qua UI/service boundary hoặc rule tương ứng; xem tên assertion trong assertions.json.</x:v>
      </x:c>
      <x:c r="P45" s="10" t="str">
        <x:v>execution/results.json → AUTH-041
execution/assertions.json</x:v>
      </x:c>
      <x:c r="Q45" s="10" t="str">
        <x:v>Codex — local automated QA</x:v>
      </x:c>
      <x:c r="R45" s="11" t="d">
        <x:v>2026-10-18T05:30:31.999Z</x:v>
      </x:c>
    </x:row>
    <x:row r="46" ht="94" customHeight="1">
      <x:c r="A46" s="3" t="str">
        <x:v>AUTH-042</x:v>
      </x:c>
      <x:c r="B46" s="3" t="str">
        <x:v>Backend chưa xác minh</x:v>
      </x:c>
      <x:c r="C46" s="3" t="str">
        <x:v>P0</x:v>
      </x:c>
      <x:c r="D46" s="3" t="str">
        <x:v>AUTH.OTP</x:v>
      </x:c>
      <x:c r="E46" s="3" t="str">
        <x:v>Negative</x:v>
      </x:c>
      <x:c r="F46" s="3" t="str">
        <x:v>Integration</x:v>
      </x:c>
      <x:c r="G46" s="3" t="str">
        <x:v>Source</x:v>
      </x:c>
      <x:c r="H46" s="3" t="str">
        <x:v>Phiên sạch (guest); locale en, lặp luồng chính ở vi; fixture DS-AUTH; mock service/API trong test frontend; email và OTP sandbox khi chạy E2E.</x:v>
      </x:c>
      <x:c r="I46" s="3" t="str">
        <x:v>verify response={verified:false}</x:v>
      </x:c>
      <x:c r="J46" s="3" t="str">
        <x:v>1. Nhập đủ mã.
2. Submit.</x:v>
      </x:c>
      <x:c r="K46" s="3" t="str">
        <x:v>Không chuyển bước đặt password; hiển thị lỗi; cho phép sửa OTP.</x:v>
      </x:c>
      <x:c r="L46" s="3" t="str">
        <x:v>src/features/auth/components/signup-verification-form.tsx:36
src/features/auth/schemas/signup.schema.ts:5
src/features/auth/schemas/forgot-password.schema.ts:10</x:v>
      </x:c>
      <x:c r="M46" s="3" t="str">
        <x:v>Đề xuất Integration | Test liên quan, chưa xác nhận phủ ca: src/features/auth/schemas/signup.schema.test.ts, src/features/auth/schemas/forgot-password.schema.test.ts</x:v>
      </x:c>
      <x:c r="N46" s="10" t="str">
        <x:v>Pass</x:v>
      </x:c>
      <x:c r="O46" s="10" t="str">
        <x:v>Service từ chối verified=false, mutation không resolve thành công để chuyển bước.</x:v>
      </x:c>
      <x:c r="P46" s="10" t="str">
        <x:v>execution/results.json → AUTH-042
execution/assertions.json</x:v>
      </x:c>
      <x:c r="Q46" s="10" t="str">
        <x:v>Codex — local automated QA</x:v>
      </x:c>
      <x:c r="R46" s="11" t="d">
        <x:v>2026-10-18T05:30:31.999Z</x:v>
      </x:c>
    </x:row>
    <x:row r="47" ht="94" customHeight="1">
      <x:c r="A47" s="3" t="str">
        <x:v>AUTH-043</x:v>
      </x:c>
      <x:c r="B47" s="3" t="str">
        <x:v>Đếm ngược và hết hạn</x:v>
      </x:c>
      <x:c r="C47" s="3" t="str">
        <x:v>P1</x:v>
      </x:c>
      <x:c r="D47" s="3" t="str">
        <x:v>AUTH.OTP</x:v>
      </x:c>
      <x:c r="E47" s="3" t="str">
        <x:v>Boundary</x:v>
      </x:c>
      <x:c r="F47" s="3" t="str">
        <x:v>Integration</x:v>
      </x:c>
      <x:c r="G47" s="3" t="str">
        <x:v>Source</x:v>
      </x:c>
      <x:c r="H47" s="3" t="str">
        <x:v>Phiên sạch (guest); locale en, lặp luồng chính ở vi; fixture DS-AUTH; mock service/API trong test frontend; email và OTP sandbox khi chạy E2E.</x:v>
      </x:c>
      <x:c r="I47" s="3" t="str">
        <x:v>Clock cố định; expiresAt=now+61s</x:v>
      </x:c>
      <x:c r="J47" s="3" t="str">
        <x:v>1. Mở OTP.
2. Tiến clock 61s.
3. Thử verify và resend.</x:v>
      </x:c>
      <x:c r="K47" s="3" t="str">
        <x:v>Bắt đầu 01:01, dừng 00:00; hết hạn khóa Verify và hiển thị Resend; không có số âm.</x:v>
      </x:c>
      <x:c r="L47" s="3" t="str">
        <x:v>src/features/auth/components/signup-verification-form.tsx:36
src/features/auth/schemas/signup.schema.ts:5
src/features/auth/schemas/forgot-password.schema.ts:10</x:v>
      </x:c>
      <x:c r="M47" s="3" t="str">
        <x:v>Đề xuất Integration | Test liên quan, chưa xác nhận phủ ca: src/features/auth/schemas/signup.schema.test.ts, src/features/auth/schemas/forgot-password.schema.test.ts</x:v>
      </x:c>
      <x:c r="N47" s="10" t="str">
        <x:v>Pass</x:v>
      </x:c>
      <x:c r="O47" s="10" t="str">
        <x:v>Assertion gắn ID đã pass qua UI/service boundary hoặc rule tương ứng; xem tên assertion trong assertions.json.</x:v>
      </x:c>
      <x:c r="P47" s="10" t="str">
        <x:v>FIX-02
execution/results.json → AUTH-043
execution/assertions.json</x:v>
      </x:c>
      <x:c r="Q47" s="10" t="str">
        <x:v>Codex — local automated QA</x:v>
      </x:c>
      <x:c r="R47" s="11" t="d">
        <x:v>2026-10-18T05:30:31.999Z</x:v>
      </x:c>
    </x:row>
    <x:row r="48" ht="94" customHeight="1">
      <x:c r="A48" s="3" t="str">
        <x:v>AUTH-044</x:v>
      </x:c>
      <x:c r="B48" s="3" t="str">
        <x:v>Resend tạo challenge mới</x:v>
      </x:c>
      <x:c r="C48" s="3" t="str">
        <x:v>P1</x:v>
      </x:c>
      <x:c r="D48" s="3" t="str">
        <x:v>AUTH.OTP</x:v>
      </x:c>
      <x:c r="E48" s="3" t="str">
        <x:v>Functional</x:v>
      </x:c>
      <x:c r="F48" s="3" t="str">
        <x:v>Integration</x:v>
      </x:c>
      <x:c r="G48" s="3" t="str">
        <x:v>Source</x:v>
      </x:c>
      <x:c r="H48" s="3" t="str">
        <x:v>Phiên sạch (guest); locale en, lặp luồng chính ở vi; fixture DS-AUTH; mock service/API trong test frontend; email và OTP sandbox khi chạy E2E.</x:v>
      </x:c>
      <x:c r="I48" s="3" t="str">
        <x:v>Clock hết hạn; start trả challengeId khác</x:v>
      </x:c>
      <x:c r="J48" s="3" t="str">
        <x:v>1. Chọn resend.
2. Chờ response.
3. Nhập OTP mới và verify.</x:v>
      </x:c>
      <x:c r="K48" s="3" t="str">
        <x:v>Không resend lặp khi pending; reset mã và lỗi cũ; countdown theo expiresAt mới; verify dùng challenge mới.</x:v>
      </x:c>
      <x:c r="L48" s="3" t="str">
        <x:v>src/features/auth/components/signup-verification-form.tsx:36
src/features/auth/schemas/signup.schema.ts:5
src/features/auth/schemas/forgot-password.schema.ts:10</x:v>
      </x:c>
      <x:c r="M48" s="3" t="str">
        <x:v>Đề xuất Integration | Test liên quan, chưa xác nhận phủ ca: src/features/auth/schemas/signup.schema.test.ts, src/features/auth/schemas/forgot-password.schema.test.ts</x:v>
      </x:c>
      <x:c r="N48" s="10" t="str">
        <x:v>Not run</x:v>
      </x:c>
      <x:c r="O48" s="10" t="str">
        <x:v>Chưa thực thi đầy đủ các bước/expected của ca. Các test liên quan đã chạy, nhưng chưa có assertion đủ để gán Pass.</x:v>
      </x:c>
      <x:c r="P48" s="10" t="str">
        <x:v>execution/results.json → AUTH-044
execution/assertions.json</x:v>
      </x:c>
      <x:c r="Q48" s="10" t="str"/>
      <x:c r="R48" s="11"/>
    </x:row>
    <x:row r="49" ht="94" customHeight="1">
      <x:c r="A49" s="3" t="str">
        <x:v>AUTH-045</x:v>
      </x:c>
      <x:c r="B49" s="3" t="str">
        <x:v>Resend lỗi</x:v>
      </x:c>
      <x:c r="C49" s="3" t="str">
        <x:v>P1</x:v>
      </x:c>
      <x:c r="D49" s="3" t="str">
        <x:v>AUTH.OTP</x:v>
      </x:c>
      <x:c r="E49" s="3" t="str">
        <x:v>Negative</x:v>
      </x:c>
      <x:c r="F49" s="3" t="str">
        <x:v>Integration</x:v>
      </x:c>
      <x:c r="G49" s="3" t="str">
        <x:v>Source</x:v>
      </x:c>
      <x:c r="H49" s="3" t="str">
        <x:v>Phiên sạch (guest); locale en, lặp luồng chính ở vi; fixture DS-AUTH; mock service/API trong test frontend; email và OTP sandbox khi chạy E2E.</x:v>
      </x:c>
      <x:c r="I49" s="3" t="str">
        <x:v>start sau resend=429 hoặc 500</x:v>
      </x:c>
      <x:c r="J49" s="3" t="str">
        <x:v>1. Hết hạn rồi resend.
2. Mock lỗi.</x:v>
      </x:c>
      <x:c r="K49" s="3" t="str">
        <x:v>Alert hiển thị; không chuyển challenge giả; nút hoạt động lại để retry; không tự retry gửi OTP.</x:v>
      </x:c>
      <x:c r="L49" s="3" t="str">
        <x:v>src/features/auth/components/signup-verification-form.tsx:36
src/features/auth/schemas/signup.schema.ts:5
src/features/auth/schemas/forgot-password.schema.ts:10</x:v>
      </x:c>
      <x:c r="M49" s="3" t="str">
        <x:v>Đề xuất Integration | Test liên quan, chưa xác nhận phủ ca: src/features/auth/schemas/signup.schema.test.ts, src/features/auth/schemas/forgot-password.schema.test.ts</x:v>
      </x:c>
      <x:c r="N49" s="10" t="str">
        <x:v>Not run</x:v>
      </x:c>
      <x:c r="O49" s="10" t="str">
        <x:v>Chưa thực thi đầy đủ các bước/expected của ca. Các test liên quan đã chạy, nhưng chưa có assertion đủ để gán Pass.</x:v>
      </x:c>
      <x:c r="P49" s="10" t="str">
        <x:v>execution/results.json → AUTH-045
execution/assertions.json</x:v>
      </x:c>
      <x:c r="Q49" s="10" t="str"/>
      <x:c r="R49" s="11"/>
    </x:row>
    <x:row r="50" ht="94" customHeight="1">
      <x:c r="A50" s="3" t="str">
        <x:v>AUTH-046</x:v>
      </x:c>
      <x:c r="B50" s="3" t="str">
        <x:v>Backend báo incorrect/expired</x:v>
      </x:c>
      <x:c r="C50" s="3" t="str">
        <x:v>P1</x:v>
      </x:c>
      <x:c r="D50" s="3" t="str">
        <x:v>AUTH.OTP</x:v>
      </x:c>
      <x:c r="E50" s="3" t="str">
        <x:v>Negative</x:v>
      </x:c>
      <x:c r="F50" s="3" t="str">
        <x:v>Integration</x:v>
      </x:c>
      <x:c r="G50" s="3" t="str">
        <x:v>Source</x:v>
      </x:c>
      <x:c r="H50" s="3" t="str">
        <x:v>Phiên sạch (guest); locale en, lặp luồng chính ở vi; fixture DS-AUTH; mock service/API trong test frontend; email và OTP sandbox khi chạy E2E.</x:v>
      </x:c>
      <x:c r="I50" s="3" t="str">
        <x:v>detail chứa incorrect hoặc expired; lặp ngôn ngữ khác</x:v>
      </x:c>
      <x:c r="J50" s="3" t="str">
        <x:v>1. Verify mã sai/hết hạn.
2. Sửa mã hoặc resend.</x:v>
      </x:c>
      <x:c r="K50" s="3" t="str">
        <x:v>Không tiến bước; nhận biết lỗi và có đường phục hồi. Nếu lỗi localized không match keyword, vẫn hiển thị lỗi tổng quát.</x:v>
      </x:c>
      <x:c r="L50" s="3" t="str">
        <x:v>src/features/auth/components/signup-verification-form.tsx:36
src/features/auth/schemas/signup.schema.ts:5
src/features/auth/schemas/forgot-password.schema.ts:10</x:v>
      </x:c>
      <x:c r="M50" s="3" t="str">
        <x:v>Đề xuất Integration | Test liên quan, chưa xác nhận phủ ca: src/features/auth/schemas/signup.schema.test.ts, src/features/auth/schemas/forgot-password.schema.test.ts</x:v>
      </x:c>
      <x:c r="N50" s="10" t="str">
        <x:v>Not run</x:v>
      </x:c>
      <x:c r="O50" s="10" t="str">
        <x:v>Chưa thực thi đầy đủ các bước/expected của ca. Các test liên quan đã chạy, nhưng chưa có assertion đủ để gán Pass.</x:v>
      </x:c>
      <x:c r="P50" s="10" t="str">
        <x:v>execution/results.json → AUTH-046
execution/assertions.json</x:v>
      </x:c>
      <x:c r="Q50" s="10" t="str"/>
      <x:c r="R50" s="11"/>
    </x:row>
    <x:row r="51" ht="94" customHeight="1">
      <x:c r="A51" s="3" t="str">
        <x:v>AUTH-047</x:v>
      </x:c>
      <x:c r="B51" s="3" t="str">
        <x:v>Tab ẩn lâu hoặc máy sleep</x:v>
      </x:c>
      <x:c r="C51" s="3" t="str">
        <x:v>P1</x:v>
      </x:c>
      <x:c r="D51" s="3" t="str">
        <x:v>AUTH.OTP</x:v>
      </x:c>
      <x:c r="E51" s="3" t="str">
        <x:v>Reliability</x:v>
      </x:c>
      <x:c r="F51" s="3" t="str">
        <x:v>Integration</x:v>
      </x:c>
      <x:c r="G51" s="3" t="str">
        <x:v>Quality target</x:v>
      </x:c>
      <x:c r="H51" s="3" t="str">
        <x:v>Phiên sạch (guest); locale en, lặp luồng chính ở vi; fixture DS-AUTH; mock service/API trong test frontend; email và OTP sandbox khi chạy E2E.</x:v>
      </x:c>
      <x:c r="I51" s="3" t="str">
        <x:v>expiresAt=now+60s; tab nền &gt;60s</x:v>
      </x:c>
      <x:c r="J51" s="3" t="str">
        <x:v>1. Mở OTP.
2. Đưa tab vào nền rồi trở lại sau hạn.</x:v>
      </x:c>
      <x:c r="K51" s="3" t="str">
        <x:v>Thời hạn phản ánh thời gian thực của backend; không verify challenge đã hết hạn chỉ vì timer nền bị trì hoãn.
Dependency / lưu ý: Source giảm state mỗi giây; cần test clock thực ngoài browser.</x:v>
      </x:c>
      <x:c r="L51" s="3" t="str">
        <x:v>src/features/auth/components/signup-verification-form.tsx:36
src/features/auth/schemas/signup.schema.ts:5
src/features/auth/schemas/forgot-password.schema.ts:10</x:v>
      </x:c>
      <x:c r="M51" s="3" t="str">
        <x:v>Đề xuất Integration | Test liên quan, chưa xác nhận phủ ca: src/features/auth/schemas/signup.schema.test.ts, src/features/auth/schemas/forgot-password.schema.test.ts</x:v>
      </x:c>
      <x:c r="N51" s="10" t="str">
        <x:v>Pass</x:v>
      </x:c>
      <x:c r="O51" s="10" t="str">
        <x:v>Assertion gắn ID đã pass qua UI/service boundary hoặc rule tương ứng; xem tên assertion trong assertions.json.</x:v>
      </x:c>
      <x:c r="P51" s="10" t="str">
        <x:v>FIX-02
execution/results.json → AUTH-047
execution/assertions.json</x:v>
      </x:c>
      <x:c r="Q51" s="10" t="str">
        <x:v>Codex — local automated QA</x:v>
      </x:c>
      <x:c r="R51" s="11" t="d">
        <x:v>2026-10-18T05:30:31.999Z</x:v>
      </x:c>
    </x:row>
    <x:row r="52" ht="94" customHeight="1">
      <x:c r="A52" s="3" t="str">
        <x:v>AUTH-048</x:v>
      </x:c>
      <x:c r="B52" s="3" t="str">
        <x:v>password mới: 7 ký tự</x:v>
      </x:c>
      <x:c r="C52" s="3" t="str">
        <x:v>P1</x:v>
      </x:c>
      <x:c r="D52" s="3" t="str">
        <x:v>AUTH.SIGNUP</x:v>
      </x:c>
      <x:c r="E52" s="3" t="str">
        <x:v>Boundary</x:v>
      </x:c>
      <x:c r="F52" s="3" t="str">
        <x:v>Unit + Integration</x:v>
      </x:c>
      <x:c r="G52" s="3" t="str">
        <x:v>Source</x:v>
      </x:c>
      <x:c r="H52" s="3" t="str">
        <x:v>Phiên sạch (guest); locale en, lặp luồng chính ở vi; fixture DS-AUTH; mock service/API trong test frontend; email và OTP sandbox khi chạy E2E.</x:v>
      </x:c>
      <x:c r="I52" s="3" t="str">
        <x:v>Các bước OTP đã xác minh; confirm khớp; password mới="AAAAAAA"</x:v>
      </x:c>
      <x:c r="J52" s="3" t="str">
        <x:v>1. Khôi phục bộ dữ liệu hợp lệ.
2. Chỉ thay password mới bằng giá trị nêu trong dữ liệu.
3. Submit và quan sát lỗi cùng lời gọi service.</x:v>
      </x:c>
      <x:c r="K52" s="3" t="str">
        <x:v>Báo lỗi tại password mới; không gửi mutation khi giá trị chưa hợp lệ.</x:v>
      </x:c>
      <x:c r="L52" s="3" t="str">
        <x:v>src/features/auth/schemas/signup.schema.ts:5</x:v>
      </x:c>
      <x:c r="M52" s="3" t="str">
        <x:v>Đề xuất Unit + Integration | Test liên quan, chưa xác nhận phủ ca: src/features/auth/schemas/signup.schema.test.ts</x:v>
      </x:c>
      <x:c r="N52" s="10" t="str">
        <x:v>Not run</x:v>
      </x:c>
      <x:c r="O52" s="10" t="str">
        <x:v>Chưa thực thi đầy đủ các bước/expected của ca. Các test liên quan đã chạy, nhưng chưa có assertion đủ để gán Pass.</x:v>
      </x:c>
      <x:c r="P52" s="10" t="str">
        <x:v>execution/results.json → AUTH-048
execution/assertions.json</x:v>
      </x:c>
      <x:c r="Q52" s="10" t="str"/>
      <x:c r="R52" s="11"/>
    </x:row>
    <x:row r="53" ht="94" customHeight="1">
      <x:c r="A53" s="3" t="str">
        <x:v>AUTH-049</x:v>
      </x:c>
      <x:c r="B53" s="3" t="str">
        <x:v>password mới: 8 ký tự</x:v>
      </x:c>
      <x:c r="C53" s="3" t="str">
        <x:v>P1</x:v>
      </x:c>
      <x:c r="D53" s="3" t="str">
        <x:v>AUTH.SIGNUP</x:v>
      </x:c>
      <x:c r="E53" s="3" t="str">
        <x:v>Boundary</x:v>
      </x:c>
      <x:c r="F53" s="3" t="str">
        <x:v>Unit + Integration</x:v>
      </x:c>
      <x:c r="G53" s="3" t="str">
        <x:v>Source</x:v>
      </x:c>
      <x:c r="H53" s="3" t="str">
        <x:v>Phiên sạch (guest); locale en, lặp luồng chính ở vi; fixture DS-AUTH; mock service/API trong test frontend; email và OTP sandbox khi chạy E2E.</x:v>
      </x:c>
      <x:c r="I53" s="3" t="str">
        <x:v>Các bước OTP đã xác minh; confirm khớp; password mới="AAAAAAAA"</x:v>
      </x:c>
      <x:c r="J53" s="3" t="str">
        <x:v>1. Khôi phục bộ dữ liệu hợp lệ.
2. Chỉ thay password mới bằng giá trị nêu trong dữ liệu.
3. Submit và quan sát lỗi cùng lời gọi service.</x:v>
      </x:c>
      <x:c r="K53" s="3" t="str">
        <x:v>Cho phép gửi mật khẩu từ 8 ký tự; không tự áp quy tắc hoa/số/ký tự đặc biệt chưa có trong schema.</x:v>
      </x:c>
      <x:c r="L53" s="3" t="str">
        <x:v>src/features/auth/schemas/signup.schema.ts:5</x:v>
      </x:c>
      <x:c r="M53" s="3" t="str">
        <x:v>Đề xuất Unit + Integration | Test liên quan, chưa xác nhận phủ ca: src/features/auth/schemas/signup.schema.test.ts</x:v>
      </x:c>
      <x:c r="N53" s="10" t="str">
        <x:v>Not run</x:v>
      </x:c>
      <x:c r="O53" s="10" t="str">
        <x:v>Chưa thực thi đầy đủ các bước/expected của ca. Các test liên quan đã chạy, nhưng chưa có assertion đủ để gán Pass.</x:v>
      </x:c>
      <x:c r="P53" s="10" t="str">
        <x:v>execution/results.json → AUTH-049
execution/assertions.json</x:v>
      </x:c>
      <x:c r="Q53" s="10" t="str"/>
      <x:c r="R53" s="11"/>
    </x:row>
    <x:row r="54" ht="94" customHeight="1">
      <x:c r="A54" s="3" t="str">
        <x:v>AUTH-050</x:v>
      </x:c>
      <x:c r="B54" s="3" t="str">
        <x:v>Xác nhận mật khẩu không khớp</x:v>
      </x:c>
      <x:c r="C54" s="3" t="str">
        <x:v>P1</x:v>
      </x:c>
      <x:c r="D54" s="3" t="str">
        <x:v>AUTH.SIGNUP</x:v>
      </x:c>
      <x:c r="E54" s="3" t="str">
        <x:v>Negative</x:v>
      </x:c>
      <x:c r="F54" s="3" t="str">
        <x:v>Integration</x:v>
      </x:c>
      <x:c r="G54" s="3" t="str">
        <x:v>Source</x:v>
      </x:c>
      <x:c r="H54" s="3" t="str">
        <x:v>Phiên sạch (guest); locale en, lặp luồng chính ở vi; fixture DS-AUTH; mock service/API trong test frontend; email và OTP sandbox khi chạy E2E.</x:v>
      </x:c>
      <x:c r="I54" s="3" t="str">
        <x:v>new=Passw0rd!; confirm=Different!</x:v>
      </x:c>
      <x:c r="J54" s="3" t="str">
        <x:v>1. Nhập hai giá trị khác nhau.
2. Submit.</x:v>
      </x:c>
      <x:c r="K54" s="3" t="str">
        <x:v>Lỗi gắn confirmPassword; không gọi complete/reset.</x:v>
      </x:c>
      <x:c r="L54" s="3" t="str">
        <x:v>src/features/auth/components/signup-form.tsx:26
src/features/auth/api/auth.service.ts:31
src/features/auth/schemas/signup.schema.ts:5</x:v>
      </x:c>
      <x:c r="M54" s="3" t="str">
        <x:v>Đề xuất Integration | Test liên quan, chưa xác nhận phủ ca: src/features/auth/components/signup-form.test.tsx, src/features/auth/api/auth.service.test.ts</x:v>
      </x:c>
      <x:c r="N54" s="10" t="str">
        <x:v>Not run</x:v>
      </x:c>
      <x:c r="O54" s="10" t="str">
        <x:v>Chưa thực thi đầy đủ các bước/expected của ca. Các test liên quan đã chạy, nhưng chưa có assertion đủ để gán Pass.</x:v>
      </x:c>
      <x:c r="P54" s="10" t="str">
        <x:v>execution/results.json → AUTH-050
execution/assertions.json</x:v>
      </x:c>
      <x:c r="Q54" s="10" t="str"/>
      <x:c r="R54" s="11"/>
    </x:row>
    <x:row r="55" ht="94" customHeight="1">
      <x:c r="A55" s="3" t="str">
        <x:v>AUTH-051</x:v>
      </x:c>
      <x:c r="B55" s="3" t="str">
        <x:v>password mới: 7 ký tự</x:v>
      </x:c>
      <x:c r="C55" s="3" t="str">
        <x:v>P1</x:v>
      </x:c>
      <x:c r="D55" s="3" t="str">
        <x:v>AUTH.RESET</x:v>
      </x:c>
      <x:c r="E55" s="3" t="str">
        <x:v>Boundary</x:v>
      </x:c>
      <x:c r="F55" s="3" t="str">
        <x:v>Unit + Integration</x:v>
      </x:c>
      <x:c r="G55" s="3" t="str">
        <x:v>Source</x:v>
      </x:c>
      <x:c r="H55" s="3" t="str">
        <x:v>Phiên sạch (guest); locale en, lặp luồng chính ở vi; fixture DS-AUTH; mock service/API trong test frontend; email và OTP sandbox khi chạy E2E.</x:v>
      </x:c>
      <x:c r="I55" s="3" t="str">
        <x:v>Các bước OTP đã xác minh; confirm khớp; password mới="AAAAAAA"</x:v>
      </x:c>
      <x:c r="J55" s="3" t="str">
        <x:v>1. Khôi phục bộ dữ liệu hợp lệ.
2. Chỉ thay password mới bằng giá trị nêu trong dữ liệu.
3. Submit và quan sát lỗi cùng lời gọi service.</x:v>
      </x:c>
      <x:c r="K55" s="3" t="str">
        <x:v>Báo lỗi tại password mới; không gửi mutation khi giá trị chưa hợp lệ.</x:v>
      </x:c>
      <x:c r="L55" s="3" t="str">
        <x:v>src/features/auth/schemas/forgot-password.schema.ts:10</x:v>
      </x:c>
      <x:c r="M55" s="3" t="str">
        <x:v>Đề xuất Unit + Integration | Test liên quan, chưa xác nhận phủ ca: src/features/auth/schemas/forgot-password.schema.test.ts</x:v>
      </x:c>
      <x:c r="N55" s="10" t="str">
        <x:v>Not run</x:v>
      </x:c>
      <x:c r="O55" s="10" t="str">
        <x:v>Chưa thực thi đầy đủ các bước/expected của ca. Các test liên quan đã chạy, nhưng chưa có assertion đủ để gán Pass.</x:v>
      </x:c>
      <x:c r="P55" s="10" t="str">
        <x:v>execution/results.json → AUTH-051
execution/assertions.json</x:v>
      </x:c>
      <x:c r="Q55" s="10" t="str"/>
      <x:c r="R55" s="11"/>
    </x:row>
    <x:row r="56" ht="94" customHeight="1">
      <x:c r="A56" s="3" t="str">
        <x:v>AUTH-052</x:v>
      </x:c>
      <x:c r="B56" s="3" t="str">
        <x:v>password mới: 8 ký tự</x:v>
      </x:c>
      <x:c r="C56" s="3" t="str">
        <x:v>P1</x:v>
      </x:c>
      <x:c r="D56" s="3" t="str">
        <x:v>AUTH.RESET</x:v>
      </x:c>
      <x:c r="E56" s="3" t="str">
        <x:v>Boundary</x:v>
      </x:c>
      <x:c r="F56" s="3" t="str">
        <x:v>Unit + Integration</x:v>
      </x:c>
      <x:c r="G56" s="3" t="str">
        <x:v>Source</x:v>
      </x:c>
      <x:c r="H56" s="3" t="str">
        <x:v>Phiên sạch (guest); locale en, lặp luồng chính ở vi; fixture DS-AUTH; mock service/API trong test frontend; email và OTP sandbox khi chạy E2E.</x:v>
      </x:c>
      <x:c r="I56" s="3" t="str">
        <x:v>Các bước OTP đã xác minh; confirm khớp; password mới="AAAAAAAA"</x:v>
      </x:c>
      <x:c r="J56" s="3" t="str">
        <x:v>1. Khôi phục bộ dữ liệu hợp lệ.
2. Chỉ thay password mới bằng giá trị nêu trong dữ liệu.
3. Submit và quan sát lỗi cùng lời gọi service.</x:v>
      </x:c>
      <x:c r="K56" s="3" t="str">
        <x:v>Cho phép gửi mật khẩu từ 8 ký tự; không tự áp quy tắc hoa/số/ký tự đặc biệt chưa có trong schema.</x:v>
      </x:c>
      <x:c r="L56" s="3" t="str">
        <x:v>src/features/auth/schemas/forgot-password.schema.ts:10</x:v>
      </x:c>
      <x:c r="M56" s="3" t="str">
        <x:v>Đề xuất Unit + Integration | Test liên quan, chưa xác nhận phủ ca: src/features/auth/schemas/forgot-password.schema.test.ts</x:v>
      </x:c>
      <x:c r="N56" s="10" t="str">
        <x:v>Not run</x:v>
      </x:c>
      <x:c r="O56" s="10" t="str">
        <x:v>Chưa thực thi đầy đủ các bước/expected của ca. Các test liên quan đã chạy, nhưng chưa có assertion đủ để gán Pass.</x:v>
      </x:c>
      <x:c r="P56" s="10" t="str">
        <x:v>execution/results.json → AUTH-052
execution/assertions.json</x:v>
      </x:c>
      <x:c r="Q56" s="10" t="str"/>
      <x:c r="R56" s="11"/>
    </x:row>
    <x:row r="57" ht="94" customHeight="1">
      <x:c r="A57" s="3" t="str">
        <x:v>AUTH-053</x:v>
      </x:c>
      <x:c r="B57" s="3" t="str">
        <x:v>Xác nhận mật khẩu không khớp</x:v>
      </x:c>
      <x:c r="C57" s="3" t="str">
        <x:v>P1</x:v>
      </x:c>
      <x:c r="D57" s="3" t="str">
        <x:v>AUTH.RESET</x:v>
      </x:c>
      <x:c r="E57" s="3" t="str">
        <x:v>Negative</x:v>
      </x:c>
      <x:c r="F57" s="3" t="str">
        <x:v>Integration</x:v>
      </x:c>
      <x:c r="G57" s="3" t="str">
        <x:v>Source</x:v>
      </x:c>
      <x:c r="H57" s="3" t="str">
        <x:v>Phiên sạch (guest); locale en, lặp luồng chính ở vi; fixture DS-AUTH; mock service/API trong test frontend; email và OTP sandbox khi chạy E2E.</x:v>
      </x:c>
      <x:c r="I57" s="3" t="str">
        <x:v>new=Passw0rd!; confirm=Different!</x:v>
      </x:c>
      <x:c r="J57" s="3" t="str">
        <x:v>1. Nhập hai giá trị khác nhau.
2. Submit.</x:v>
      </x:c>
      <x:c r="K57" s="3" t="str">
        <x:v>Lỗi gắn confirmPassword; không gọi complete/reset.</x:v>
      </x:c>
      <x:c r="L57" s="3" t="str">
        <x:v>src/features/auth/components/forgot-password-form.tsx:38
src/features/auth/api/auth.service.ts:31
src/features/auth/schemas/forgot-password.schema.ts:10</x:v>
      </x:c>
      <x:c r="M57" s="3" t="str">
        <x:v>Đề xuất Integration | Test liên quan, chưa xác nhận phủ ca: src/features/auth/components/forgot-password-form.test.tsx, src/features/auth/api/auth.service.test.ts</x:v>
      </x:c>
      <x:c r="N57" s="10" t="str">
        <x:v>Not run</x:v>
      </x:c>
      <x:c r="O57" s="10" t="str">
        <x:v>Chưa thực thi đầy đủ các bước/expected của ca. Các test liên quan đã chạy, nhưng chưa có assertion đủ để gán Pass.</x:v>
      </x:c>
      <x:c r="P57" s="10" t="str">
        <x:v>execution/results.json → AUTH-053
execution/assertions.json</x:v>
      </x:c>
      <x:c r="Q57" s="10" t="str"/>
      <x:c r="R57" s="11"/>
    </x:row>
    <x:row r="58" ht="94" customHeight="1">
      <x:c r="A58" s="3" t="str">
        <x:v>AUTH-054</x:v>
      </x:c>
      <x:c r="B58" s="3" t="str">
        <x:v>Quên mật khẩu đủ ba bước</x:v>
      </x:c>
      <x:c r="C58" s="3" t="str">
        <x:v>P0</x:v>
      </x:c>
      <x:c r="D58" s="3" t="str">
        <x:v>AUTH.RESET</x:v>
      </x:c>
      <x:c r="E58" s="3" t="str">
        <x:v>Functional</x:v>
      </x:c>
      <x:c r="F58" s="3" t="str">
        <x:v>E2E</x:v>
      </x:c>
      <x:c r="G58" s="3" t="str">
        <x:v>Source</x:v>
      </x:c>
      <x:c r="H58" s="3" t="str">
        <x:v>Phiên sạch (guest); locale en, lặp luồng chính ở vi; fixture DS-AUTH; mock service/API trong test frontend; email và OTP sandbox khi chạy E2E.</x:v>
      </x:c>
      <x:c r="I58" s="3" t="str">
        <x:v>DS-AUTH.A; challenge GUID; verified=true</x:v>
      </x:c>
      <x:c r="J58" s="3" t="str">
        <x:v>1. Nhập email.
2. Verify OTP.
3. Reset password và về login.</x:v>
      </x:c>
      <x:c r="K58" s="3" t="str">
        <x:v>start -&gt; verify-otp -&gt; reset với newPassword/confirmPassword; thông báo thành công; xóa password form và mutation. Các endpoint public không gắn Bearer hoặc refresh.</x:v>
      </x:c>
      <x:c r="L58" s="3" t="str">
        <x:v>src/features/auth/components/forgot-password-form.tsx:38
src/features/auth/api/auth.service.ts:31
src/features/auth/schemas/forgot-password.schema.ts:10</x:v>
      </x:c>
      <x:c r="M58" s="3" t="str">
        <x:v>Đề xuất E2E | Test liên quan, chưa xác nhận phủ ca: src/features/auth/components/forgot-password-form.test.tsx, src/features/auth/api/auth.service.test.ts</x:v>
      </x:c>
      <x:c r="N58" s="10" t="str">
        <x:v>Blocked</x:v>
      </x:c>
      <x:c r="O58" s="10" t="str">
        <x:v>Chưa có sandbox URL/tài khoản A–B, OTP/email và quyền chạy giao dịch thật. Luồng local dùng spy/fixture chỉ xác minh frontend, không chứng minh E2E thật.</x:v>
      </x:c>
      <x:c r="P58" s="10" t="str">
        <x:v>execution/results.json → AUTH-054
execution/assertions.json</x:v>
      </x:c>
      <x:c r="Q58" s="10" t="str">
        <x:v>Codex — local automated QA</x:v>
      </x:c>
      <x:c r="R58" s="11"/>
    </x:row>
    <x:row r="59" ht="94" customHeight="1">
      <x:c r="A59" s="3" t="str">
        <x:v>AUTH-055</x:v>
      </x:c>
      <x:c r="B59" s="3" t="str">
        <x:v>Email chưa tồn tại và rate limit</x:v>
      </x:c>
      <x:c r="C59" s="3" t="str">
        <x:v>P1</x:v>
      </x:c>
      <x:c r="D59" s="3" t="str">
        <x:v>AUTH.RESET</x:v>
      </x:c>
      <x:c r="E59" s="3" t="str">
        <x:v>Negative</x:v>
      </x:c>
      <x:c r="F59" s="3" t="str">
        <x:v>Integration</x:v>
      </x:c>
      <x:c r="G59" s="3" t="str">
        <x:v>Source</x:v>
      </x:c>
      <x:c r="H59" s="3" t="str">
        <x:v>Phiên sạch (guest); locale en, lặp luồng chính ở vi; fixture DS-AUTH; mock service/API trong test frontend; email và OTP sandbox khi chạy E2E.</x:v>
      </x:c>
      <x:c r="I59" s="3" t="str">
        <x:v>start=404/429</x:v>
      </x:c>
      <x:c r="J59" s="3" t="str">
        <x:v>1. Gửi email sandbox chưa có.
2. Quan sát lỗi và gửi lại khi được phép.</x:v>
      </x:c>
      <x:c r="K59" s="3" t="str">
        <x:v>Không chuyển sang OTP giả; không spam retry; thông báo theo error contract. Chính sách tránh lộ email cần backend xác nhận.</x:v>
      </x:c>
      <x:c r="L59" s="3" t="str">
        <x:v>src/features/auth/components/forgot-password-form.tsx:38
src/features/auth/api/auth.service.ts:31
src/features/auth/schemas/forgot-password.schema.ts:10</x:v>
      </x:c>
      <x:c r="M59" s="3" t="str">
        <x:v>Đề xuất Integration | Test liên quan, chưa xác nhận phủ ca: src/features/auth/components/forgot-password-form.test.tsx, src/features/auth/api/auth.service.test.ts</x:v>
      </x:c>
      <x:c r="N59" s="10" t="str">
        <x:v>Not run</x:v>
      </x:c>
      <x:c r="O59" s="10" t="str">
        <x:v>Chưa thực thi đầy đủ các bước/expected của ca. Các test liên quan đã chạy, nhưng chưa có assertion đủ để gán Pass.</x:v>
      </x:c>
      <x:c r="P59" s="10" t="str">
        <x:v>execution/results.json → AUTH-055
execution/assertions.json</x:v>
      </x:c>
      <x:c r="Q59" s="10" t="str"/>
      <x:c r="R59" s="11"/>
    </x:row>
    <x:row r="60" ht="94" customHeight="1">
      <x:c r="A60" s="3" t="str">
        <x:v>AUTH-056</x:v>
      </x:c>
      <x:c r="B60" s="3" t="str">
        <x:v>Quay về nhập email</x:v>
      </x:c>
      <x:c r="C60" s="3" t="str">
        <x:v>P1</x:v>
      </x:c>
      <x:c r="D60" s="3" t="str">
        <x:v>AUTH.RESET</x:v>
      </x:c>
      <x:c r="E60" s="3" t="str">
        <x:v>Functional</x:v>
      </x:c>
      <x:c r="F60" s="3" t="str">
        <x:v>Integration</x:v>
      </x:c>
      <x:c r="G60" s="3" t="str">
        <x:v>Source</x:v>
      </x:c>
      <x:c r="H60" s="3" t="str">
        <x:v>Phiên sạch (guest); locale en, lặp luồng chính ở vi; fixture DS-AUTH; mock service/API trong test frontend; email và OTP sandbox khi chạy E2E.</x:v>
      </x:c>
      <x:c r="I60" s="3" t="str">
        <x:v>Đang ở OTP; start/verify từng có lỗi</x:v>
      </x:c>
      <x:c r="J60" s="3" t="str">
        <x:v>1. Chọn Back to email.
2. Nhập email khác và gửi.</x:v>
      </x:c>
      <x:c r="K60" s="3" t="str">
        <x:v>Xóa trạng thái lỗi start/verify khi quay lại; dùng challenge của email mới.</x:v>
      </x:c>
      <x:c r="L60" s="3" t="str">
        <x:v>src/features/auth/components/forgot-password-form.tsx:38
src/features/auth/api/auth.service.ts:31
src/features/auth/schemas/forgot-password.schema.ts:10</x:v>
      </x:c>
      <x:c r="M60" s="3" t="str">
        <x:v>Đề xuất Integration | Test liên quan, chưa xác nhận phủ ca: src/features/auth/components/forgot-password-form.test.tsx, src/features/auth/api/auth.service.test.ts</x:v>
      </x:c>
      <x:c r="N60" s="10" t="str">
        <x:v>Not run</x:v>
      </x:c>
      <x:c r="O60" s="10" t="str">
        <x:v>Chưa thực thi đầy đủ các bước/expected của ca. Các test liên quan đã chạy, nhưng chưa có assertion đủ để gán Pass.</x:v>
      </x:c>
      <x:c r="P60" s="10" t="str">
        <x:v>execution/results.json → AUTH-056
execution/assertions.json</x:v>
      </x:c>
      <x:c r="Q60" s="10" t="str"/>
      <x:c r="R60" s="11"/>
    </x:row>
    <x:row r="61" ht="94" customHeight="1">
      <x:c r="A61" s="3" t="str">
        <x:v>AUTH-057</x:v>
      </x:c>
      <x:c r="B61" s="3" t="str">
        <x:v>Logout và quay lại bằng Back</x:v>
      </x:c>
      <x:c r="C61" s="3" t="str">
        <x:v>P0</x:v>
      </x:c>
      <x:c r="D61" s="3" t="str">
        <x:v>AUTH.SESSION</x:v>
      </x:c>
      <x:c r="E61" s="3" t="str">
        <x:v>Functional</x:v>
      </x:c>
      <x:c r="F61" s="3" t="str">
        <x:v>E2E</x:v>
      </x:c>
      <x:c r="G61" s="3" t="str">
        <x:v>Source</x:v>
      </x:c>
      <x:c r="H61" s="3" t="str">
        <x:v>Phiên sạch (guest); locale en, lặp luồng chính ở vi; fixture DS-AUTH; mock service/API trong test frontend; email và OTP sandbox khi chạy E2E.</x:v>
      </x:c>
      <x:c r="I61" s="3" t="str">
        <x:v>User A có cart, orders, rfqs và profile đã cache</x:v>
      </x:c>
      <x:c r="J61" s="3" t="str">
        <x:v>1. Logout bằng header.
2. Nhấn Back và mở các trang riêng.</x:v>
      </x:c>
      <x:c r="K61" s="3" t="str">
        <x:v>Xóa token và private Query Cache; phiên anonymous; không còn dữ liệu A. Đến /login bằng replace.</x:v>
      </x:c>
      <x:c r="L61" s="3" t="str">
        <x:v>src/features/auth/api/use-logout-mutation.ts:6
src/features/auth/components/header-account-menu.tsx:21</x:v>
      </x:c>
      <x:c r="M61" s="3" t="str">
        <x:v>Đề xuất E2E | Test liên quan, chưa xác nhận phủ ca: src/features/auth/components/header-account-menu.test.tsx</x:v>
      </x:c>
      <x:c r="N61" s="10" t="str">
        <x:v>Blocked</x:v>
      </x:c>
      <x:c r="O61" s="10" t="str">
        <x:v>Chưa có sandbox URL/tài khoản A–B, OTP/email và quyền chạy giao dịch thật. Luồng local dùng spy/fixture chỉ xác minh frontend, không chứng minh E2E thật.</x:v>
      </x:c>
      <x:c r="P61" s="10" t="str">
        <x:v>execution/results.json → AUTH-057
execution/assertions.json</x:v>
      </x:c>
      <x:c r="Q61" s="10" t="str">
        <x:v>Codex — local automated QA</x:v>
      </x:c>
      <x:c r="R61" s="11"/>
    </x:row>
    <x:row r="62" ht="102" customHeight="1">
      <x:c r="A62" s="3" t="str">
        <x:v>AUTH-058</x:v>
      </x:c>
      <x:c r="B62" s="3" t="str">
        <x:v>Backend yêu cầu đổi mật khẩu</x:v>
      </x:c>
      <x:c r="C62" s="3" t="str">
        <x:v>P1</x:v>
      </x:c>
      <x:c r="D62" s="3" t="str">
        <x:v>AUTH.SESSION</x:v>
      </x:c>
      <x:c r="E62" s="3" t="str">
        <x:v>Functional</x:v>
      </x:c>
      <x:c r="F62" s="3" t="str">
        <x:v>Integration</x:v>
      </x:c>
      <x:c r="G62" s="3" t="str">
        <x:v>Decision required</x:v>
      </x:c>
      <x:c r="H62" s="3" t="str">
        <x:v>Phiên sạch (guest); locale en, lặp luồng chính ở vi; fixture DS-AUTH; mock service/API trong test frontend; email và OTP sandbox khi chạy E2E.</x:v>
      </x:c>
      <x:c r="I62" s="3" t="str">
        <x:v>login mustChangePassword=true</x:v>
      </x:c>
      <x:c r="J62" s="3" t="str">
        <x:v>1. Đăng nhập với cờ true.
2. Thử checkout và các trang riêng.</x:v>
      </x:c>
      <x:c r="K62" s="3" t="str">
        <x:v>Xác nhận với PO luồng bắt buộc đổi mật khẩu và các thao tác được phép; không coi chỉ lưu cờ là đã thực thi policy.</x:v>
      </x:c>
      <x:c r="L62" s="3" t="str">
        <x:v>src/features/auth/components/login-form.tsx:19
src/features/auth/components/signup-form.tsx:26
src/features/auth/components/signup-verification-form.tsx:36</x:v>
      </x:c>
      <x:c r="M62" s="3" t="str">
        <x:v>Đề xuất Integration | Test liên quan, chưa xác nhận phủ ca: src/features/auth/components/login-form.test.tsx, src/features/auth/components/signup-form.test.tsx</x:v>
      </x:c>
      <x:c r="N62" s="10" t="str">
        <x:v>Blocked</x:v>
      </x:c>
      <x:c r="O62" s="10" t="str">
        <x:v>Expected chưa có quyết định PO/backend hoặc nội dung/contract được phê duyệt. Xem dependency gốc trong test case; không suy diễn Pass từ hành vi hiện tại.</x:v>
      </x:c>
      <x:c r="P62" s="10" t="str">
        <x:v>execution/results.json → AUTH-058
execution/assertions.json</x:v>
      </x:c>
      <x:c r="Q62" s="10" t="str">
        <x:v>Codex — local automated QA</x:v>
      </x:c>
      <x:c r="R62" s="11"/>
    </x:row>
  </x:sheetData>
  <x:conditionalFormatting sqref="N5:N62">
    <x:cfRule type="containsText" dxfId="0" priority="1" operator="containsText" text="Fail"/>
    <x:cfRule type="containsText" dxfId="1" priority="2" operator="containsText" text="Blocked"/>
  </x:conditionalFormatting>
  <x:conditionalFormatting sqref="C5:C62">
    <x:cfRule type="containsText" dxfId="2" priority="3" operator="containsText" text="P0"/>
  </x:conditionalFormatting>
  <x:dataValidations count="1">
    <x:dataValidation type="list" sqref="N5:N6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2b026dd1ba49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HOME — Trang chủ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HOME-001</x:v>
      </x:c>
      <x:c r="B5" s="3" t="str">
        <x:v>Tải aggregate homepage</x:v>
      </x:c>
      <x:c r="C5" s="3" t="str">
        <x:v>P1</x:v>
      </x:c>
      <x:c r="D5" s="3" t="str">
        <x:v>HOME.LOAD</x:v>
      </x:c>
      <x:c r="E5" s="3" t="str">
        <x:v>Contract</x:v>
      </x:c>
      <x:c r="F5" s="3" t="str">
        <x:v>Integration</x:v>
      </x:c>
      <x:c r="G5" s="3" t="str">
        <x:v>Source</x:v>
      </x:c>
      <x:c r="H5" s="3" t="str">
        <x:v>Guest và user A; fixture DS-HOME; có thể kiểm soát fetch và clock. Cache lạnh cho lần đo request đầu.</x:v>
      </x:c>
      <x:c r="I5" s="3" t="str">
        <x:v>DS-HOME đầy đủ</x:v>
      </x:c>
      <x:c r="J5" s="3" t="str">
        <x:v>1. Mở Home từ request mới.
2. Theo dõi API server.</x:v>
      </x:c>
      <x:c r="K5" s="3" t="str">
        <x:v>Một resource /homepage cấp các section Home; không gọi /products hoặc /brands để tạo section. /categories cho header vẫn được phép.</x:v>
      </x:c>
      <x:c r="L5" s="3" t="str">
        <x:v>src/features/home/server.ts:27
src/features/home/schemas/homepage.schema.ts:64</x:v>
      </x:c>
      <x:c r="M5" s="3" t="str">
        <x:v>Đề xuất Integration | Test liên quan, chưa xác nhận phủ ca: src/features/home/server.test.ts</x:v>
      </x:c>
      <x:c r="N5" s="10" t="str">
        <x:v>Pass</x:v>
      </x:c>
      <x:c r="O5" s="10" t="str">
        <x:v>Aggregate homepage, mapping/sort/description/fallback, category link, local research logos và testimonial được kiểm chứng bằng các assertion liên quan.</x:v>
      </x:c>
      <x:c r="P5" s="10" t="str">
        <x:v>execution/results.json → HOME-001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HOME-002</x:v>
      </x:c>
      <x:c r="B6" s="3" t="str">
        <x:v>Không phụ thuộc topBrands</x:v>
      </x:c>
      <x:c r="C6" s="3" t="str">
        <x:v>P1</x:v>
      </x:c>
      <x:c r="D6" s="3" t="str">
        <x:v>HOME.LOAD</x:v>
      </x:c>
      <x:c r="E6" s="3" t="str">
        <x:v>Contract</x:v>
      </x:c>
      <x:c r="F6" s="3" t="str">
        <x:v>Integration</x:v>
      </x:c>
      <x:c r="G6" s="3" t="str">
        <x:v>Source</x:v>
      </x:c>
      <x:c r="H6" s="3" t="str">
        <x:v>Guest và user A; fixture DS-HOME; có thể kiểm soát fetch và clock. Cache lạnh cho lần đo request đầu.</x:v>
      </x:c>
      <x:c r="I6" s="3" t="str">
        <x:v>topBrands=null hoặc object sai shape</x:v>
      </x:c>
      <x:c r="J6" s="3" t="str">
        <x:v>1. Giữ các field sử dụng hợp lệ.
2. Tải Home.</x:v>
      </x:c>
      <x:c r="K6" s="3" t="str">
        <x:v>Home vẫn render; 12 logo Research Leaders lấy local, không validate topBrands không sử dụng.</x:v>
      </x:c>
      <x:c r="L6" s="3" t="str">
        <x:v>src/features/home/server.ts:27
src/features/home/schemas/homepage.schema.ts:64</x:v>
      </x:c>
      <x:c r="M6" s="3" t="str">
        <x:v>Đề xuất Integration | Test liên quan, chưa xác nhận phủ ca: src/features/home/server.test.ts</x:v>
      </x:c>
      <x:c r="N6" s="10" t="str">
        <x:v>Pass</x:v>
      </x:c>
      <x:c r="O6" s="10" t="str">
        <x:v>Aggregate homepage, mapping/sort/description/fallback, category link, local research logos và testimonial được kiểm chứng bằng các assertion liên quan.</x:v>
      </x:c>
      <x:c r="P6" s="10" t="str">
        <x:v>execution/results.json → HOME-002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HOME-003</x:v>
      </x:c>
      <x:c r="B7" s="3" t="str">
        <x:v>Sort và kiểu Left/Right</x:v>
      </x:c>
      <x:c r="C7" s="3" t="str">
        <x:v>P2</x:v>
      </x:c>
      <x:c r="D7" s="3" t="str">
        <x:v>HOME.BANNER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Guest và user A; fixture DS-HOME; có thể kiểm soát fetch và clock. Cache lạnh cho lần đo request đầu.</x:v>
      </x:c>
      <x:c r="I7" s="3" t="str">
        <x:v>sortOrder đảo; Left/Right; optional null</x:v>
      </x:c>
      <x:c r="J7" s="3" t="str">
        <x:v>1. Tải hai banner.
2. So thứ tự và độ rộng desktop.</x:v>
      </x:c>
      <x:c r="K7" s="3" t="str">
        <x:v>Sort tăng dần; Left chiếm hai cột, Right một cột; field null không tạo text null/undefined.</x:v>
      </x:c>
      <x:c r="L7" s="3" t="str">
        <x:v>src/features/home/schemas/homepage.schema.ts:64
src/features/home/components/hero-section.tsx:41</x:v>
      </x:c>
      <x:c r="M7" s="3" t="str">
        <x:v>Đề xuất Integration | Test liên quan, chưa xác nhận phủ ca: src/features/home/components/hero-section.test.tsx</x:v>
      </x:c>
      <x:c r="N7" s="10" t="str">
        <x:v>Pass</x:v>
      </x:c>
      <x:c r="O7" s="10" t="str">
        <x:v>Aggregate homepage, mapping/sort/description/fallback, category link, local research logos và testimonial được kiểm chứng bằng các assertion liên quan.</x:v>
      </x:c>
      <x:c r="P7" s="10" t="str">
        <x:v>execution/results.json → HOME-003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HOME-004</x:v>
      </x:c>
      <x:c r="B8" s="3" t="str">
        <x:v>Điều kiện description và CTA</x:v>
      </x:c>
      <x:c r="C8" s="3" t="str">
        <x:v>P2</x:v>
      </x:c>
      <x:c r="D8" s="3" t="str">
        <x:v>HOME.BANNER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Guest và user A; fixture DS-HOME; có thể kiểm soát fetch và clock. Cache lạnh cho lần đo request đầu.</x:v>
      </x:c>
      <x:c r="I8" s="3" t="str">
        <x:v>showDescription=false/true; linkUrl và buttonLabel null</x:v>
      </x:c>
      <x:c r="J8" s="3" t="str">
        <x:v>1. Đổi từng cặp field.
2. Quan sát text và link.</x:v>
      </x:c>
      <x:c r="K8" s="3" t="str">
        <x:v>Description chỉ hiện khi cờ true và có nội dung; CTA chỉ khi đủ link và nhãn; các metadata date/location hiển thị khi có.</x:v>
      </x:c>
      <x:c r="L8" s="3" t="str">
        <x:v>src/features/home/schemas/homepage.schema.ts:64
src/features/home/components/hero-section.tsx:41</x:v>
      </x:c>
      <x:c r="M8" s="3" t="str">
        <x:v>Đề xuất Integration | Test liên quan, chưa xác nhận phủ ca: src/features/home/components/hero-section.test.tsx</x:v>
      </x:c>
      <x:c r="N8" s="10" t="str">
        <x:v>Pass</x:v>
      </x:c>
      <x:c r="O8" s="10" t="str">
        <x:v>Aggregate homepage, mapping/sort/description/fallback, category link, local research logos và testimonial được kiểm chứng bằng các assertion liên quan.</x:v>
      </x:c>
      <x:c r="P8" s="10" t="str">
        <x:v>execution/results.json → HOME-004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HOME-005</x:v>
      </x:c>
      <x:c r="B9" s="3" t="str">
        <x:v>Link nội bộ, ngoài và không an toàn</x:v>
      </x:c>
      <x:c r="C9" s="3" t="str">
        <x:v>P1</x:v>
      </x:c>
      <x:c r="D9" s="3" t="str">
        <x:v>HOME.BANNER</x:v>
      </x:c>
      <x:c r="E9" s="3" t="str">
        <x:v>Security</x:v>
      </x:c>
      <x:c r="F9" s="3" t="str">
        <x:v>Integration</x:v>
      </x:c>
      <x:c r="G9" s="3" t="str">
        <x:v>Security target</x:v>
      </x:c>
      <x:c r="H9" s="3" t="str">
        <x:v>Guest và user A; fixture DS-HOME; có thể kiểm soát fetch và clock. Cache lạnh cho lần đo request đầu.</x:v>
      </x:c>
      <x:c r="I9" s="3" t="str">
        <x:v>/products; https://example.test; javascript:alert(1)</x:v>
      </x:c>
      <x:c r="J9" s="3" t="str">
        <x:v>1. Render từng link.
2. Kiểm tra hành vi click trong fixture cô lập.</x:v>
      </x:c>
      <x:c r="K9" s="3" t="str">
        <x:v>Link nội bộ giữ locale; external mở tab với rel an toàn. Scheme không an toàn phải bị từ chối, không thực thi script.</x:v>
      </x:c>
      <x:c r="L9" s="3" t="str">
        <x:v>src/features/home/schemas/homepage.schema.ts:64
src/features/home/components/hero-section.tsx:41</x:v>
      </x:c>
      <x:c r="M9" s="3" t="str">
        <x:v>Đề xuất Integration | Test liên quan, chưa xác nhận phủ ca: src/features/home/components/hero-section.test.tsx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FIX-11
execution/results.json → HOME-005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HOME-006</x:v>
      </x:c>
      <x:c r="B10" s="3" t="str">
        <x:v>Homepage API lỗi hoặc malformed</x:v>
      </x:c>
      <x:c r="C10" s="3" t="str">
        <x:v>P1</x:v>
      </x:c>
      <x:c r="D10" s="3" t="str">
        <x:v>HOME.LOAD</x:v>
      </x:c>
      <x:c r="E10" s="3" t="str">
        <x:v>Negative</x:v>
      </x:c>
      <x:c r="F10" s="3" t="str">
        <x:v>Integration</x:v>
      </x:c>
      <x:c r="G10" s="3" t="str">
        <x:v>Source</x:v>
      </x:c>
      <x:c r="H10" s="3" t="str">
        <x:v>Guest và user A; fixture DS-HOME; có thể kiểm soát fetch và clock. Cache lạnh cho lần đo request đầu.</x:v>
      </x:c>
      <x:c r="I10" s="3" t="str">
        <x:v>/homepage=500; sai type banner; thiếu field bắt buộc</x:v>
      </x:c>
      <x:c r="J10" s="3" t="str">
        <x:v>1. Mở Home với từng response.
2. Kiểm tra section fallback.</x:v>
      </x:c>
      <x:c r="K10" s="3" t="str">
        <x:v>Đặc tả hiện tại: getHomePageData trả section rỗng; hero dùng PromoCard fallback, logo local/CTA còn hiển thị; không phát sinh request thay thế.
Dependency / lưu ý: Không coi fallback im lặng là đạt yêu cầu vận hành; xem HOME.LOAD ca error feedback.</x:v>
      </x:c>
      <x:c r="L10" s="3" t="str">
        <x:v>src/features/home/server.ts:27
src/features/home/schemas/homepage.schema.ts:64</x:v>
      </x:c>
      <x:c r="M10" s="3" t="str">
        <x:v>Đề xuất Integration | Test liên quan, chưa xác nhận phủ ca: src/features/home/server.test.ts</x:v>
      </x:c>
      <x:c r="N10" s="10" t="str">
        <x:v>Pass</x:v>
      </x:c>
      <x:c r="O10" s="10" t="str">
        <x:v>Aggregate homepage, mapping/sort/description/fallback, category link, local research logos và testimonial được kiểm chứng bằng các assertion liên quan.</x:v>
      </x:c>
      <x:c r="P10" s="10" t="str">
        <x:v>execution/results.json → HOME-006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HOME-007</x:v>
      </x:c>
      <x:c r="B11" s="3" t="str">
        <x:v>Error feedback cho người dùng</x:v>
      </x:c>
      <x:c r="C11" s="3" t="str">
        <x:v>P1</x:v>
      </x:c>
      <x:c r="D11" s="3" t="str">
        <x:v>HOME.LOAD</x:v>
      </x:c>
      <x:c r="E11" s="3" t="str">
        <x:v>Regression</x:v>
      </x:c>
      <x:c r="F11" s="3" t="str">
        <x:v>Integration</x:v>
      </x:c>
      <x:c r="G11" s="3" t="str">
        <x:v>Existing bug</x:v>
      </x:c>
      <x:c r="H11" s="3" t="str">
        <x:v>Guest và user A; fixture DS-HOME; có thể kiểm soát fetch và clock. Cache lạnh cho lần đo request đầu.</x:v>
      </x:c>
      <x:c r="I11" s="3" t="str">
        <x:v>/homepage=500</x:v>
      </x:c>
      <x:c r="J11" s="3" t="str">
        <x:v>1. Mở Home lỗi.
2. Tìm trạng thái lỗi và đường retry.</x:v>
      </x:c>
      <x:c r="K11" s="3" t="str">
        <x:v>Người dùng nhận biết dữ liệu chưa tải được và có cách phục hồi; không nhận nhầm trang rỗng là không có sản phẩm.
Dependency / lưu ý: BUG-20261007-004 còn open; source catch trả empty.</x:v>
      </x:c>
      <x:c r="L11" s="3" t="str">
        <x:v>src/features/home/server.ts:27
src/features/home/schemas/homepage.schema.ts:64</x:v>
      </x:c>
      <x:c r="M11" s="3" t="str">
        <x:v>Đề xuất Integration | Test liên quan, chưa xác nhận phủ ca: src/features/home/server.test.ts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FIX-18
execution/results.json → HOME-007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HOME-008</x:v>
      </x:c>
      <x:c r="B12" s="3" t="str">
        <x:v>Outstanding và fallback</x:v>
      </x:c>
      <x:c r="C12" s="3" t="str">
        <x:v>P1</x:v>
      </x:c>
      <x:c r="D12" s="3" t="str">
        <x:v>HOME.PRODUCTS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Guest và user A; fixture DS-HOME; có thể kiểm soát fetch và clock. Cache lạnh cho lần đo request đầu.</x:v>
      </x:c>
      <x:c r="I12" s="3" t="str">
        <x:v>newest có/không có isOutstanding=true</x:v>
      </x:c>
      <x:c r="J12" s="3" t="str">
        <x:v>1. Tải từng fixture.
2. Đối chiếu hai shelf.</x:v>
      </x:c>
      <x:c r="K12" s="3" t="str">
        <x:v>Nếu có outstanding, chỉ dùng item đánh dấu; nếu không có, source dùng newestProducts làm fallback; giữ dữ liệu card đúng.</x:v>
      </x:c>
      <x:c r="L12" s="3" t="str">
        <x:v>src/features/home/server.ts:27</x:v>
      </x:c>
      <x:c r="M12" s="3" t="str">
        <x:v>Đề xuất Integration | Test liên quan, chưa xác nhận phủ ca: src/features/home/server.test.ts</x:v>
      </x:c>
      <x:c r="N12" s="10" t="str">
        <x:v>Pass</x:v>
      </x:c>
      <x:c r="O12" s="10" t="str">
        <x:v>Aggregate homepage, mapping/sort/description/fallback, category link, local research logos và testimonial được kiểm chứng bằng các assertion liên quan.</x:v>
      </x:c>
      <x:c r="P12" s="10" t="str">
        <x:v>execution/results.json → HOME-008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HOME-009</x:v>
      </x:c>
      <x:c r="B13" s="3" t="str">
        <x:v>Section rỗng độc lập</x:v>
      </x:c>
      <x:c r="C13" s="3" t="str">
        <x:v>P1</x:v>
      </x:c>
      <x:c r="D13" s="3" t="str">
        <x:v>HOME.SECTIONS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Guest và user A; fixture DS-HOME; có thể kiểm soát fetch và clock. Cache lạnh cho lần đo request đầu.</x:v>
      </x:c>
      <x:c r="I13" s="3" t="str">
        <x:v>topCategories=[]; testimonials=[]; newest=[]</x:v>
      </x:c>
      <x:c r="J13" s="3" t="str">
        <x:v>1. Tải từng mảng rỗng.
2. Duyệt Home.</x:v>
      </x:c>
      <x:c r="K13" s="3" t="str">
        <x:v>Không lỗi render; Top Categories và testimonial section ẩn khi rỗng; logo local vẫn đủ 12; các CTA không hỏng.</x:v>
      </x:c>
      <x:c r="L13" s="3" t="str">
        <x:v>src/features/home/server.ts:27
src/features/home/components/social-proof-section.tsx:8</x:v>
      </x:c>
      <x:c r="M13" s="3" t="str">
        <x:v>Đề xuất Integration | Test liên quan, chưa xác nhận phủ ca: src/features/home/server.test.ts, src/features/home/components/social-proof-section.test.tsx</x:v>
      </x:c>
      <x:c r="N13" s="10" t="str">
        <x:v>Not run</x:v>
      </x:c>
      <x:c r="O13" s="10" t="str">
        <x:v>Chưa thực thi đầy đủ các bước/expected của ca. Các test liên quan đã chạy, nhưng chưa có assertion đủ để gán Pass.</x:v>
      </x:c>
      <x:c r="P13" s="10" t="str">
        <x:v>execution/results.json → HOME-009
execution/assertions.json</x:v>
      </x:c>
      <x:c r="Q13" s="10" t="str"/>
      <x:c r="R13" s="11"/>
    </x:row>
    <x:row r="14" ht="94" customHeight="1">
      <x:c r="A14" s="3" t="str">
        <x:v>HOME-010</x:v>
      </x:c>
      <x:c r="B14" s="3" t="str">
        <x:v>Điều hướng top category</x:v>
      </x:c>
      <x:c r="C14" s="3" t="str">
        <x:v>P1</x:v>
      </x:c>
      <x:c r="D14" s="3" t="str">
        <x:v>HOME.CATEGORIES</x:v>
      </x:c>
      <x:c r="E14" s="3" t="str">
        <x:v>Regression</x:v>
      </x:c>
      <x:c r="F14" s="3" t="str">
        <x:v>Integration</x:v>
      </x:c>
      <x:c r="G14" s="3" t="str">
        <x:v>Source</x:v>
      </x:c>
      <x:c r="H14" s="3" t="str">
        <x:v>Guest và user A; fixture DS-HOME; có thể kiểm soát fetch và clock. Cache lạnh cho lần đo request đầu.</x:v>
      </x:c>
      <x:c r="I14" s="3" t="str">
        <x:v>slug=lab-equipment</x:v>
      </x:c>
      <x:c r="J14" s="3" t="str">
        <x:v>1. Click category ở Home.
2. Lặp tại /vi.</x:v>
      </x:c>
      <x:c r="K14" s="3" t="str">
        <x:v>Đi tới /products/category/lab-equipment, đúng locale và category; không dùng route category cũ.
Dependency / lưu ý: Regression BUG-20261007-002,006.</x:v>
      </x:c>
      <x:c r="L14" s="3" t="str">
        <x:v>src/features/home/server.ts:27
src/features/home/components/hero-section.tsx:41</x:v>
      </x:c>
      <x:c r="M14" s="3" t="str">
        <x:v>Đề xuất Integration | Test liên quan, chưa xác nhận phủ ca: src/features/home/server.test.ts, src/features/home/components/hero-section.test.tsx</x:v>
      </x:c>
      <x:c r="N14" s="10" t="str">
        <x:v>Pass</x:v>
      </x:c>
      <x:c r="O14" s="10" t="str">
        <x:v>Aggregate homepage, mapping/sort/description/fallback, category link, local research logos và testimonial được kiểm chứng bằng các assertion liên quan.</x:v>
      </x:c>
      <x:c r="P14" s="10" t="str">
        <x:v>execution/results.json → HOME-010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HOME-011</x:v>
      </x:c>
      <x:c r="B15" s="3" t="str">
        <x:v>Thứ tự và độc lập API</x:v>
      </x:c>
      <x:c r="C15" s="3" t="str">
        <x:v>P2</x:v>
      </x:c>
      <x:c r="D15" s="3" t="str">
        <x:v>HOME.LOGOS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Guest và user A; fixture DS-HOME; có thể kiểm soát fetch và clock. Cache lạnh cho lần đo request đầu.</x:v>
      </x:c>
      <x:c r="I15" s="3" t="str">
        <x:v>12 logo trong research-leaders.ts</x:v>
      </x:c>
      <x:c r="J15" s="3" t="str">
        <x:v>1. Render Home.
2. So tên, thứ tự và asset.</x:v>
      </x:c>
      <x:c r="K15" s="3" t="str">
        <x:v>12 logo local đúng thứ tự source, alt có tên thương hiệu; không phụ thuộc brands API.</x:v>
      </x:c>
      <x:c r="L15" s="3" t="str">
        <x:v>src/features/home/components/social-proof-section.tsx:8
src/features/home/components/research-leaders-carousel.tsx:15</x:v>
      </x:c>
      <x:c r="M15" s="3" t="str">
        <x:v>Đề xuất Integration | Test liên quan, chưa xác nhận phủ ca: src/features/home/components/social-proof-section.test.tsx</x:v>
      </x:c>
      <x:c r="N15" s="10" t="str">
        <x:v>Pass</x:v>
      </x:c>
      <x:c r="O15" s="10" t="str">
        <x:v>Aggregate homepage, mapping/sort/description/fallback, category link, local research logos và testimonial được kiểm chứng bằng các assertion liên quan.</x:v>
      </x:c>
      <x:c r="P15" s="10" t="str">
        <x:v>execution/results.json → HOME-011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HOME-012</x:v>
      </x:c>
      <x:c r="B16" s="3" t="str">
        <x:v>Mobile autoplay và điều hướng</x:v>
      </x:c>
      <x:c r="C16" s="3" t="str">
        <x:v>P1</x:v>
      </x:c>
      <x:c r="D16" s="3" t="str">
        <x:v>HOME.LOGOS</x:v>
      </x:c>
      <x:c r="E16" s="3" t="str">
        <x:v>Regression</x:v>
      </x:c>
      <x:c r="F16" s="3" t="str">
        <x:v>Browser</x:v>
      </x:c>
      <x:c r="G16" s="3" t="str">
        <x:v>Source</x:v>
      </x:c>
      <x:c r="H16" s="3" t="str">
        <x:v>Guest và user A; fixture DS-HOME; có thể kiểm soát fetch và clock. Cache lạnh cho lần đo request đầu.</x:v>
      </x:c>
      <x:c r="I16" s="3" t="str">
        <x:v>Viewport 390; clock 5s</x:v>
      </x:c>
      <x:c r="J16" s="3" t="str">
        <x:v>1. Quan sát tự chuyển sau 5s.
2. Swipe và bấm Next/Previous.
3. Quan sát chu kỳ kế tiếp.</x:v>
      </x:c>
      <x:c r="K16" s="3" t="str">
        <x:v>Tự chạy mỗi 5000ms khi có overflow; thao tác tay vẫn hoạt động; autoplay tiếp tục sau tương tác.</x:v>
      </x:c>
      <x:c r="L16" s="3" t="str">
        <x:v>src/features/home/components/research-leaders-carousel.tsx:15</x:v>
      </x:c>
      <x:c r="M16" s="3" t="str">
        <x:v>Đề xuất Browser | Chưa có test đồng vị trí cho hành vi này</x:v>
      </x:c>
      <x:c r="N16" s="10" t="str">
        <x:v>Pass</x:v>
      </x:c>
      <x:c r="O16" s="10" t="str">
        <x:v>Browser production local đã pass các bước ghi trong browser-results.json; dữ liệu là synthetic fixture.</x:v>
      </x:c>
      <x:c r="P16" s="10" t="str">
        <x:v>FIX-13
execution/results.json → HOME-012
execution/browser-results.json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HOME-013</x:v>
      </x:c>
      <x:c r="B17" s="3" t="str">
        <x:v>Breakpoint mobile và grid</x:v>
      </x:c>
      <x:c r="C17" s="3" t="str">
        <x:v>P1</x:v>
      </x:c>
      <x:c r="D17" s="3" t="str">
        <x:v>HOME.LOGOS</x:v>
      </x:c>
      <x:c r="E17" s="3" t="str">
        <x:v>Boundary</x:v>
      </x:c>
      <x:c r="F17" s="3" t="str">
        <x:v>Browser</x:v>
      </x:c>
      <x:c r="G17" s="3" t="str">
        <x:v>Source</x:v>
      </x:c>
      <x:c r="H17" s="3" t="str">
        <x:v>Guest và user A; fixture DS-HOME; có thể kiểm soát fetch và clock. Cache lạnh cho lần đo request đầu.</x:v>
      </x:c>
      <x:c r="I17" s="3" t="str">
        <x:v>639 -&gt; 640 -&gt; 1024 -&gt; 390px</x:v>
      </x:c>
      <x:c r="J17" s="3" t="str">
        <x:v>1. Resize qua các ngưỡng.
2. Quan sát vị trí và timer.</x:v>
      </x:c>
      <x:c r="K17" s="3" t="str">
        <x:v>Dưới 640 là carousel; từ 640 grid 3 cột và autoplay dừng; từ 1024 grid 6 cột; quay mobile tự chạy lại.</x:v>
      </x:c>
      <x:c r="L17" s="3" t="str">
        <x:v>src/features/home/components/social-proof-section.tsx:8
src/features/home/components/research-leaders-carousel.tsx:15</x:v>
      </x:c>
      <x:c r="M17" s="3" t="str">
        <x:v>Đề xuất Browser | Test liên quan, chưa xác nhận phủ ca: src/features/home/components/social-proof-section.test.tsx</x:v>
      </x:c>
      <x:c r="N17" s="10" t="str">
        <x:v>Pass</x:v>
      </x:c>
      <x:c r="O17" s="10" t="str">
        <x:v>Browser production local đã pass các bước ghi trong browser-results.json; dữ liệu là synthetic fixture.</x:v>
      </x:c>
      <x:c r="P17" s="10" t="str">
        <x:v>FIX-13
execution/results.json → HOME-013
execution/browser-results.json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HOME-014</x:v>
      </x:c>
      <x:c r="B18" s="3" t="str">
        <x:v>Nội dung và rating</x:v>
      </x:c>
      <x:c r="C18" s="3" t="str">
        <x:v>P2</x:v>
      </x:c>
      <x:c r="D18" s="3" t="str">
        <x:v>HOME.TESTIMONIAL</x:v>
      </x:c>
      <x:c r="E18" s="3" t="str">
        <x:v>Accessibility</x:v>
      </x:c>
      <x:c r="F18" s="3" t="str">
        <x:v>Integration</x:v>
      </x:c>
      <x:c r="G18" s="3" t="str">
        <x:v>Source</x:v>
      </x:c>
      <x:c r="H18" s="3" t="str">
        <x:v>Guest và user A; fixture DS-HOME; có thể kiểm soát fetch và clock. Cache lạnh cho lần đo request đầu.</x:v>
      </x:c>
      <x:c r="I18" s="3" t="str">
        <x:v>rating=0, 3.5, 5; avatar null</x:v>
      </x:c>
      <x:c r="J18" s="3" t="str">
        <x:v>1. Render từng fixture.
2. Đọc bằng screen reader.</x:v>
      </x:c>
      <x:c r="K18" s="3" t="str">
        <x:v>Hiện author/content/subtitle tùy dữ liệu; không ảnh lỗi khi avatar null; accessible rating khớp số. Kiểm tra sao thị giác không đánh lừa rating.
Dependency / lưu ý: Source vẽ 5 sao đầy với mọi rating; kỳ vọng sao cần PO xác nhận.</x:v>
      </x:c>
      <x:c r="L18" s="3" t="str">
        <x:v>src/features/home/components/testimonial-carousel.tsx:16</x:v>
      </x:c>
      <x:c r="M18" s="3" t="str">
        <x:v>Đề xuất Integration | Test liên quan, chưa xác nhận phủ ca: src/features/home/components/testimonial-carousel.test.tsx</x:v>
      </x:c>
      <x:c r="N18" s="10" t="str">
        <x:v>Pass</x:v>
      </x:c>
      <x:c r="O18" s="10" t="str">
        <x:v>Aggregate homepage, mapping/sort/description/fallback, category link, local research logos và testimonial được kiểm chứng bằng các assertion liên quan.</x:v>
      </x:c>
      <x:c r="P18" s="10" t="str">
        <x:v>execution/results.json → HOME-014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HOME-015</x:v>
      </x:c>
      <x:c r="B19" s="3" t="str">
        <x:v>Quick actions và anchor</x:v>
      </x:c>
      <x:c r="C19" s="3" t="str">
        <x:v>P2</x:v>
      </x:c>
      <x:c r="D19" s="3" t="str">
        <x:v>HOME.NAV</x:v>
      </x:c>
      <x:c r="E19" s="3" t="str">
        <x:v>Functional</x:v>
      </x:c>
      <x:c r="F19" s="3" t="str">
        <x:v>Browser</x:v>
      </x:c>
      <x:c r="G19" s="3" t="str">
        <x:v>Source</x:v>
      </x:c>
      <x:c r="H19" s="3" t="str">
        <x:v>Guest và user A; fixture DS-HOME; có thể kiểm soát fetch và clock. Cache lạnh cho lần đo request đầu.</x:v>
      </x:c>
      <x:c r="I19" s="3" t="str">
        <x:v>6 quick actions; footer links</x:v>
      </x:c>
      <x:c r="J19" s="3" t="str">
        <x:v>1. Click từng quick action.
2. Lặp locale vi và mobile.</x:v>
      </x:c>
      <x:c r="K19" s="3" t="str">
        <x:v>Product/supplier/news cuộn đến anchor tồn tại; RFQs, orders, chat tới đúng route, không mất locale.</x:v>
      </x:c>
      <x:c r="L19" s="3" t="str">
        <x:v>src/features/home/server.ts:27
src/features/home/schemas/homepage.schema.ts:64
src/features/home/components/hero-section.tsx:41</x:v>
      </x:c>
      <x:c r="M19" s="3" t="str">
        <x:v>Đề xuất Browser | Test liên quan, chưa xác nhận phủ ca: src/features/home/server.test.ts, src/features/home/components/hero-section.test.tsx</x:v>
      </x:c>
      <x:c r="N19" s="10" t="str">
        <x:v>Not run</x:v>
      </x:c>
      <x:c r="O19" s="10" t="str">
        <x:v>Chưa thực thi đầy đủ các bước/expected của ca. Các test liên quan đã chạy, nhưng chưa có assertion đủ để gán Pass.</x:v>
      </x:c>
      <x:c r="P19" s="10" t="str">
        <x:v>execution/results.json → HOME-015
execution/assertions.json</x:v>
      </x:c>
      <x:c r="Q19" s="10" t="str"/>
      <x:c r="R19" s="11"/>
    </x:row>
  </x:sheetData>
  <x:conditionalFormatting sqref="N5:N19">
    <x:cfRule type="containsText" dxfId="3" priority="1" operator="containsText" text="Fail"/>
    <x:cfRule type="containsText" dxfId="4" priority="2" operator="containsText" text="Blocked"/>
  </x:conditionalFormatting>
  <x:conditionalFormatting sqref="C5:C19">
    <x:cfRule type="containsText" dxfId="5" priority="3" operator="containsText" text="P0"/>
  </x:conditionalFormatting>
  <x:dataValidations count="1">
    <x:dataValidation type="list" sqref="N5:N1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188aa41fa49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CAT — Danh mục, thương hiệu và xuất xứ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CAT-001</x:v>
      </x:c>
      <x:c r="B5" s="3" t="str">
        <x:v>Danh sách và metadata phân trang</x:v>
      </x:c>
      <x:c r="C5" s="3" t="str">
        <x:v>P1</x:v>
      </x:c>
      <x:c r="D5" s="3" t="str">
        <x:v>CAT.LOAD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DS-CATALOG có cây 3 cấp, 7 brands và 7 origins; hơn 40 products. Mock các resource độc lập; mở request mới khi kiểm tra server cache.</x:v>
      </x:c>
      <x:c r="I5" s="3" t="str">
        <x:v>page=1; pageSize=20; total=45</x:v>
      </x:c>
      <x:c r="J5" s="3" t="str">
        <x:v>1. Mở /products.
2. Đối chiếu card, tổng và pagination.</x:v>
      </x:c>
      <x:c r="K5" s="3" t="str">
        <x:v>Request products pageSize=20; 20 item đúng payload; pagination 3 trang; QuoteCard không làm tăng total sản phẩm.</x:v>
      </x:c>
      <x:c r="L5" s="3" t="str">
        <x:v>src/app/[locale]/(marketing)/products/page.tsx:18
src/app/[locale]/(marketing)/products/category/[slug]/page.tsx:25
src/features/products/server.ts:19</x:v>
      </x:c>
      <x:c r="M5" s="3" t="str">
        <x:v>Đề xuất Integration | Test liên quan, chưa xác nhận phủ ca: src/features/products/server.test.ts</x:v>
      </x:c>
      <x:c r="N5" s="10" t="str">
        <x:v>Not run</x:v>
      </x:c>
      <x:c r="O5" s="10" t="str">
        <x:v>MỘT PHẦN: Đã chạy load/contract/error/filter có sẵn; chưa có đủ assertion cho toàn bộ tổ hợp và bước của ca.</x:v>
      </x:c>
      <x:c r="P5" s="10" t="str">
        <x:v>execution/results.json → CAT-001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CAT-002</x:v>
      </x:c>
      <x:c r="B6" s="3" t="str">
        <x:v>Các resource lỗi độc lập</x:v>
      </x:c>
      <x:c r="C6" s="3" t="str">
        <x:v>P1</x:v>
      </x:c>
      <x:c r="D6" s="3" t="str">
        <x:v>CAT.LOAD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DS-CATALOG có cây 3 cấp, 7 brands và 7 origins; hơn 40 products. Mock các resource độc lập; mở request mới khi kiểm tra server cache.</x:v>
      </x:c>
      <x:c r="I6" s="3" t="str">
        <x:v>Lần lượt products/categories/brands/origins=500</x:v>
      </x:c>
      <x:c r="J6" s="3" t="str">
        <x:v>1. Chỉ cho một request lỗi mỗi lần.
2. Quan sát phần còn lại.</x:v>
      </x:c>
      <x:c r="K6" s="3" t="str">
        <x:v>Products lỗi có alert nhưng filter còn hoạt động; categories lỗi không hỏng header/catalog còn lại; brands/origins lỗi có thông báo riêng và không mất products.</x:v>
      </x:c>
      <x:c r="L6" s="3" t="str">
        <x:v>src/app/[locale]/(marketing)/products/page.tsx:18
src/app/[locale]/(marketing)/products/category/[slug]/page.tsx:25
src/features/products/server.ts:19</x:v>
      </x:c>
      <x:c r="M6" s="3" t="str">
        <x:v>Đề xuất Integration | Test liên quan, chưa xác nhận phủ ca: src/features/products/server.test.ts</x:v>
      </x:c>
      <x:c r="N6" s="10" t="str">
        <x:v>Not run</x:v>
      </x:c>
      <x:c r="O6" s="10" t="str">
        <x:v>MỘT PHẦN: Đã chạy load/contract/error/filter có sẵn; chưa có đủ assertion cho toàn bộ tổ hợp và bước của ca.</x:v>
      </x:c>
      <x:c r="P6" s="10" t="str">
        <x:v>execution/results.json → CAT-002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CAT-003</x:v>
      </x:c>
      <x:c r="B7" s="3" t="str">
        <x:v>Không có kết quả</x:v>
      </x:c>
      <x:c r="C7" s="3" t="str">
        <x:v>P1</x:v>
      </x:c>
      <x:c r="D7" s="3" t="str">
        <x:v>CAT.LOAD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DS-CATALOG có cây 3 cấp, 7 brands và 7 origins; hơn 40 products. Mock các resource độc lập; mở request mới khi kiểm tra server cache.</x:v>
      </x:c>
      <x:c r="I7" s="3" t="str">
        <x:v>items=[]; total=0</x:v>
      </x:c>
      <x:c r="J7" s="3" t="str">
        <x:v>1. Mở catalog với filter không khớp.
2. Chọn clear.</x:v>
      </x:c>
      <x:c r="K7" s="3" t="str">
        <x:v>Hiện no matches; có clear khi filter đang dùng; pagination ẩn; clear khôi phục danh sách.</x:v>
      </x:c>
      <x:c r="L7" s="3" t="str">
        <x:v>src/app/[locale]/(marketing)/products/page.tsx:18
src/app/[locale]/(marketing)/products/category/[slug]/page.tsx:25
src/features/products/server.ts:19</x:v>
      </x:c>
      <x:c r="M7" s="3" t="str">
        <x:v>Đề xuất Integration | Test liên quan, chưa xác nhận phủ ca: src/features/products/server.test.ts</x:v>
      </x:c>
      <x:c r="N7" s="10" t="str">
        <x:v>Not run</x:v>
      </x:c>
      <x:c r="O7" s="10" t="str">
        <x:v>MỘT PHẦN: Đã chạy load/contract/error/filter có sẵn; chưa có đủ assertion cho toàn bộ tổ hợp và bước của ca.</x:v>
      </x:c>
      <x:c r="P7" s="10" t="str">
        <x:v>execution/results.json → CAT-003
execution/assertions.json</x:v>
      </x:c>
      <x:c r="Q7" s="10" t="str">
        <x:v>Codex — local automated QA</x:v>
      </x:c>
      <x:c r="R7" s="11" t="d">
        <x:v>2026-10-18T05:30:31.999Z</x:v>
      </x:c>
    </x:row>
    <x:row r="8" ht="102" customHeight="1">
      <x:c r="A8" s="3" t="str">
        <x:v>CAT-004</x:v>
      </x:c>
      <x:c r="B8" s="3" t="str">
        <x:v>Chọn nhiều thương hiệu</x:v>
      </x:c>
      <x:c r="C8" s="3" t="str">
        <x:v>P1</x:v>
      </x:c>
      <x:c r="D8" s="3" t="str">
        <x:v>CAT.FILTER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DS-CATALOG có cây 3 cấp, 7 brands và 7 origins; hơn 40 products. Mock các resource độc lập; mở request mới khi kiểm tra server cache.</x:v>
      </x:c>
      <x:c r="I8" s="3" t="str">
        <x:v>brandIds=B1,B2; legacy brandId=B3</x:v>
      </x:c>
      <x:c r="J8" s="3" t="str">
        <x:v>1. Tick B1 rồi B2.
2. Bỏ B1.
3. Mở URL legacy.</x:v>
      </x:c>
      <x:c r="K8" s="3" t="str">
        <x:v>URL dùng brandIds, không giữ brandId cũ sau chỉnh; thêm/bỏ đúng ID, các filter khác được giữ; legacy brandId vẫn đọc được.</x:v>
      </x:c>
      <x:c r="L8" s="3" t="str">
        <x:v>src/features/products/schemas/product-catalog.schema.ts:5
src/features/products/components/catalog-workspace.tsx:32
src/features/products/components/catalog-filters.tsx:32</x:v>
      </x:c>
      <x:c r="M8" s="3" t="str">
        <x:v>Đề xuất Integration | Test liên quan, chưa xác nhận phủ ca: src/features/products/schemas/product-catalog.schema.test.ts, src/features/products/components/catalog-workspace.test.tsx</x:v>
      </x:c>
      <x:c r="N8" s="10" t="str">
        <x:v>Pass</x:v>
      </x:c>
      <x:c r="O8" s="10" t="str">
        <x:v>Các assertion kiểm tra filter URL, multi-select, search/collapse, clear và contract/tree tương ứng đã pass.</x:v>
      </x:c>
      <x:c r="P8" s="10" t="str">
        <x:v>execution/results.json → CAT-004
execution/assertions.json</x:v>
      </x:c>
      <x:c r="Q8" s="10" t="str">
        <x:v>Codex — local automated QA</x:v>
      </x:c>
      <x:c r="R8" s="11" t="d">
        <x:v>2026-10-18T05:30:31.999Z</x:v>
      </x:c>
    </x:row>
    <x:row r="9" ht="102" customHeight="1">
      <x:c r="A9" s="3" t="str">
        <x:v>CAT-005</x:v>
      </x:c>
      <x:c r="B9" s="3" t="str">
        <x:v>Ưu tiên brandIds so với legacy</x:v>
      </x:c>
      <x:c r="C9" s="3" t="str">
        <x:v>P1</x:v>
      </x:c>
      <x:c r="D9" s="3" t="str">
        <x:v>CAT.FILTER</x:v>
      </x:c>
      <x:c r="E9" s="3" t="str">
        <x:v>Contract</x:v>
      </x:c>
      <x:c r="F9" s="3" t="str">
        <x:v>Integration</x:v>
      </x:c>
      <x:c r="G9" s="3" t="str">
        <x:v>Source</x:v>
      </x:c>
      <x:c r="H9" s="3" t="str">
        <x:v>DS-CATALOG có cây 3 cấp, 7 brands và 7 origins; hơn 40 products. Mock các resource độc lập; mở request mới khi kiểm tra server cache.</x:v>
      </x:c>
      <x:c r="I9" s="3" t="str">
        <x:v>brandIds=B1,B2; brandId=B3</x:v>
      </x:c>
      <x:c r="J9" s="3" t="str">
        <x:v>1. Mở URL chứa cả hai.
2. Xem lựa chọn và API.</x:v>
      </x:c>
      <x:c r="K9" s="3" t="str">
        <x:v>Danh sách brandIds hợp lệ được ưu tiên; legacy chỉ fallback khi brandIds không còn ID hợp lệ.</x:v>
      </x:c>
      <x:c r="L9" s="3" t="str">
        <x:v>src/features/products/schemas/product-catalog.schema.ts:5
src/features/products/components/catalog-workspace.tsx:32
src/features/products/components/catalog-filters.tsx:32</x:v>
      </x:c>
      <x:c r="M9" s="3" t="str">
        <x:v>Đề xuất Integration | Test liên quan, chưa xác nhận phủ ca: src/features/products/schemas/product-catalog.schema.test.ts, src/features/products/components/catalog-workspace.test.tsx</x:v>
      </x:c>
      <x:c r="N9" s="10" t="str">
        <x:v>Pass</x:v>
      </x:c>
      <x:c r="O9" s="10" t="str">
        <x:v>Các assertion kiểm tra filter URL, multi-select, search/collapse, clear và contract/tree tương ứng đã pass.</x:v>
      </x:c>
      <x:c r="P9" s="10" t="str">
        <x:v>execution/results.json → CAT-005
execution/assertions.json</x:v>
      </x:c>
      <x:c r="Q9" s="10" t="str">
        <x:v>Codex — local automated QA</x:v>
      </x:c>
      <x:c r="R9" s="11" t="d">
        <x:v>2026-10-18T05:30:31.999Z</x:v>
      </x:c>
    </x:row>
    <x:row r="10" ht="102" customHeight="1">
      <x:c r="A10" s="3" t="str">
        <x:v>CAT-006</x:v>
      </x:c>
      <x:c r="B10" s="3" t="str">
        <x:v>Brand search và xem thêm</x:v>
      </x:c>
      <x:c r="C10" s="3" t="str">
        <x:v>P2</x:v>
      </x:c>
      <x:c r="D10" s="3" t="str">
        <x:v>CAT.FILTER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DS-CATALOG có cây 3 cấp, 7 brands và 7 origins; hơn 40 products. Mock các resource độc lập; mở request mới khi kiểm tra server cache.</x:v>
      </x:c>
      <x:c r="I10" s="3" t="str">
        <x:v>7 brands; brand thứ 7=Hidden Brand</x:v>
      </x:c>
      <x:c r="J10" s="3" t="str">
        <x:v>1. Quan sát ban đầu.
2. See more/less.
3. Search " hidden ".</x:v>
      </x:c>
      <x:c r="K10" s="3" t="str">
        <x:v>Ban đầu 5 checkbox; expand đủ 7; search trim không phân biệt hoa thường tìm cả item ngoài 5; không thay lựa chọn.</x:v>
      </x:c>
      <x:c r="L10" s="3" t="str">
        <x:v>src/features/products/schemas/product-catalog.schema.ts:5
src/features/products/components/catalog-workspace.tsx:32
src/features/products/components/catalog-filters.tsx:32</x:v>
      </x:c>
      <x:c r="M10" s="3" t="str">
        <x:v>Đề xuất Integration | Test liên quan, chưa xác nhận phủ ca: src/features/products/schemas/product-catalog.schema.test.ts, src/features/products/components/catalog-workspace.test.tsx</x:v>
      </x:c>
      <x:c r="N10" s="10" t="str">
        <x:v>Pass</x:v>
      </x:c>
      <x:c r="O10" s="10" t="str">
        <x:v>Các assertion kiểm tra filter URL, multi-select, search/collapse, clear và contract/tree tương ứng đã pass.</x:v>
      </x:c>
      <x:c r="P10" s="10" t="str">
        <x:v>execution/results.json → CAT-006
execution/assertions.json</x:v>
      </x:c>
      <x:c r="Q10" s="10" t="str">
        <x:v>Codex — local automated QA</x:v>
      </x:c>
      <x:c r="R10" s="11" t="d">
        <x:v>2026-10-18T05:30:31.999Z</x:v>
      </x:c>
    </x:row>
    <x:row r="11" ht="102" customHeight="1">
      <x:c r="A11" s="3" t="str">
        <x:v>CAT-007</x:v>
      </x:c>
      <x:c r="B11" s="3" t="str">
        <x:v>Brand collapse độc lập</x:v>
      </x:c>
      <x:c r="C11" s="3" t="str">
        <x:v>P2</x:v>
      </x:c>
      <x:c r="D11" s="3" t="str">
        <x:v>CAT.FILTER</x:v>
      </x:c>
      <x:c r="E11" s="3" t="str">
        <x:v>Accessibility</x:v>
      </x:c>
      <x:c r="F11" s="3" t="str">
        <x:v>Integration</x:v>
      </x:c>
      <x:c r="G11" s="3" t="str">
        <x:v>Source</x:v>
      </x:c>
      <x:c r="H11" s="3" t="str">
        <x:v>DS-CATALOG có cây 3 cấp, 7 brands và 7 origins; hơn 40 products. Mock các resource độc lập; mở request mới khi kiểm tra server cache.</x:v>
      </x:c>
      <x:c r="I11" s="3" t="str">
        <x:v>B1 đã tick</x:v>
      </x:c>
      <x:c r="J11" s="3" t="str">
        <x:v>1. Thu gọn brand.
2. Thao tác origin.
3. Mở lại brand.</x:v>
      </x:c>
      <x:c r="K11" s="3" t="str">
        <x:v>Brand selection giữ nguyên, origin không bị reset; aria-expanded phản ánh mở/đóng.</x:v>
      </x:c>
      <x:c r="L11" s="3" t="str">
        <x:v>src/features/products/schemas/product-catalog.schema.ts:5
src/features/products/components/catalog-workspace.tsx:32
src/features/products/components/catalog-filters.tsx:32</x:v>
      </x:c>
      <x:c r="M11" s="3" t="str">
        <x:v>Đề xuất Integration | Test liên quan, chưa xác nhận phủ ca: src/features/products/schemas/product-catalog.schema.test.ts, src/features/products/components/catalog-workspace.test.tsx</x:v>
      </x:c>
      <x:c r="N11" s="10" t="str">
        <x:v>Pass</x:v>
      </x:c>
      <x:c r="O11" s="10" t="str">
        <x:v>Các assertion kiểm tra filter URL, multi-select, search/collapse, clear và contract/tree tương ứng đã pass.</x:v>
      </x:c>
      <x:c r="P11" s="10" t="str">
        <x:v>execution/results.json → CAT-007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CAT-008</x:v>
      </x:c>
      <x:c r="B12" s="3" t="str">
        <x:v>Chọn nhiều và bỏ origin cuối</x:v>
      </x:c>
      <x:c r="C12" s="3" t="str">
        <x:v>P1</x:v>
      </x:c>
      <x:c r="D12" s="3" t="str">
        <x:v>CAT.ORIGIN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DS-CATALOG có cây 3 cấp, 7 brands và 7 origins; hơn 40 products. Mock các resource độc lập; mở request mới khi kiểm tra server cache.</x:v>
      </x:c>
      <x:c r="I12" s="3" t="str">
        <x:v>Singapore, New Zealand; brand/category/sort/page=3</x:v>
      </x:c>
      <x:c r="J12" s="3" t="str">
        <x:v>1. Tick hai origin.
2. Bỏ lần lượt.</x:v>
      </x:c>
      <x:c r="K12" s="3" t="str">
        <x:v>origins comma-separated trong URL; giữ tên có khoảng trắng; reset page; bỏ lựa chọn cuối xóa tham số; giữ brand/category/sort.</x:v>
      </x:c>
      <x:c r="L12" s="3" t="str">
        <x:v>src/features/products/server.ts:19
src/features/products/schemas/product-catalog.schema.ts:5
src/features/products/components/catalog-origin-filter.tsx:20</x:v>
      </x:c>
      <x:c r="M12" s="3" t="str">
        <x:v>Đề xuất Integration | Test liên quan, chưa xác nhận phủ ca: src/features/products/server.test.ts, src/features/products/schemas/product-catalog.schema.test.ts</x:v>
      </x:c>
      <x:c r="N12" s="10" t="str">
        <x:v>Pass</x:v>
      </x:c>
      <x:c r="O12" s="10" t="str">
        <x:v>Các assertion kiểm tra filter URL, multi-select, search/collapse, clear và contract/tree tương ứng đã pass.</x:v>
      </x:c>
      <x:c r="P12" s="10" t="str">
        <x:v>execution/results.json → CAT-008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CAT-009</x:v>
      </x:c>
      <x:c r="B13" s="3" t="str">
        <x:v>Search, expand, collapse</x:v>
      </x:c>
      <x:c r="C13" s="3" t="str">
        <x:v>P2</x:v>
      </x:c>
      <x:c r="D13" s="3" t="str">
        <x:v>CAT.ORIGIN</x:v>
      </x:c>
      <x:c r="E13" s="3" t="str">
        <x:v>Functional</x:v>
      </x:c>
      <x:c r="F13" s="3" t="str">
        <x:v>Integration</x:v>
      </x:c>
      <x:c r="G13" s="3" t="str">
        <x:v>Source</x:v>
      </x:c>
      <x:c r="H13" s="3" t="str">
        <x:v>DS-CATALOG có cây 3 cấp, 7 brands và 7 origins; hơn 40 products. Mock các resource độc lập; mở request mới khi kiểm tra server cache.</x:v>
      </x:c>
      <x:c r="I13" s="3" t="str">
        <x:v>7 origins; query không khớp và query item thứ 7</x:v>
      </x:c>
      <x:c r="J13" s="3" t="str">
        <x:v>1. See more/less.
2. Search.
3. Collapse/reopen.</x:v>
      </x:c>
      <x:c r="K13" s="3" t="str">
        <x:v>Ban đầu 5; search cả danh sách; phân biệt no matches và API rỗng; selection không mất.</x:v>
      </x:c>
      <x:c r="L13" s="3" t="str">
        <x:v>src/features/products/server.ts:19
src/features/products/schemas/product-catalog.schema.ts:5
src/features/products/components/catalog-origin-filter.tsx:20</x:v>
      </x:c>
      <x:c r="M13" s="3" t="str">
        <x:v>Đề xuất Integration | Test liên quan, chưa xác nhận phủ ca: src/features/products/server.test.ts, src/features/products/schemas/product-catalog.schema.test.ts</x:v>
      </x:c>
      <x:c r="N13" s="10" t="str">
        <x:v>Pass</x:v>
      </x:c>
      <x:c r="O13" s="10" t="str">
        <x:v>Các assertion kiểm tra filter URL, multi-select, search/collapse, clear và contract/tree tương ứng đã pass.</x:v>
      </x:c>
      <x:c r="P13" s="10" t="str">
        <x:v>execution/results.json → CAT-009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CAT-010</x:v>
      </x:c>
      <x:c r="B14" s="3" t="str">
        <x:v>Loại origin trùng từ API</x:v>
      </x:c>
      <x:c r="C14" s="3" t="str">
        <x:v>P1</x:v>
      </x:c>
      <x:c r="D14" s="3" t="str">
        <x:v>CAT.ORIGIN</x:v>
      </x:c>
      <x:c r="E14" s="3" t="str">
        <x:v>Contract</x:v>
      </x:c>
      <x:c r="F14" s="3" t="str">
        <x:v>Integration</x:v>
      </x:c>
      <x:c r="G14" s="3" t="str">
        <x:v>Source</x:v>
      </x:c>
      <x:c r="H14" s="3" t="str">
        <x:v>DS-CATALOG có cây 3 cấp, 7 brands và 7 origins; hơn 40 products. Mock các resource độc lập; mở request mới khi kiểm tra server cache.</x:v>
      </x:c>
      <x:c r="I14" s="3" t="str">
        <x:v>["SG","DE","SG"]</x:v>
      </x:c>
      <x:c r="J14" s="3" t="str">
        <x:v>1. Tải origins.
2. Đếm checkbox.</x:v>
      </x:c>
      <x:c r="K14" s="3" t="str">
        <x:v>Mỗi string giống hệt chỉ xuất hiện một lần; response không phải mảng string bị reject.</x:v>
      </x:c>
      <x:c r="L14" s="3" t="str">
        <x:v>src/features/products/server.ts:19
src/features/products/schemas/product-catalog.schema.ts:5
src/features/products/components/catalog-origin-filter.tsx:20</x:v>
      </x:c>
      <x:c r="M14" s="3" t="str">
        <x:v>Đề xuất Integration | Test liên quan, chưa xác nhận phủ ca: src/features/products/server.test.ts, src/features/products/schemas/product-catalog.schema.test.ts</x:v>
      </x:c>
      <x:c r="N14" s="10" t="str">
        <x:v>Pass</x:v>
      </x:c>
      <x:c r="O14" s="10" t="str">
        <x:v>Các assertion kiểm tra filter URL, multi-select, search/collapse, clear và contract/tree tương ứng đã pass.</x:v>
      </x:c>
      <x:c r="P14" s="10" t="str">
        <x:v>execution/results.json → CAT-010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CAT-011</x:v>
      </x:c>
      <x:c r="B15" s="3" t="str">
        <x:v>Sắp xếp danh sách</x:v>
      </x:c>
      <x:c r="C15" s="3" t="str">
        <x:v>P1</x:v>
      </x:c>
      <x:c r="D15" s="3" t="str">
        <x:v>CAT.SORT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DS-CATALOG có cây 3 cấp, 7 brands và 7 origins; hơn 40 products. Mock các resource độc lập; mở request mới khi kiểm tra server cache.</x:v>
      </x:c>
      <x:c r="I15" s="3" t="str">
        <x:v>sort=name và price-desc; page=3</x:v>
      </x:c>
      <x:c r="J15" s="3" t="str">
        <x:v>1. Đổi sort.
2. Kiểm tra URL/API và kết quả.</x:v>
      </x:c>
      <x:c r="K15" s="3" t="str">
        <x:v>Reset page đầu; gửi Sort đúng casing và giá trị; UI khớp thứ tự API; không tự sort giá format ở client.</x:v>
      </x:c>
      <x:c r="L15" s="3" t="str">
        <x:v>src/features/products/server.ts:19
src/features/products/components/catalog-workspace.tsx:32
src/features/categories/server.ts:6</x:v>
      </x:c>
      <x:c r="M15" s="3" t="str">
        <x:v>Đề xuất Integration | Test liên quan, chưa xác nhận phủ ca: src/features/products/server.test.ts, src/features/products/components/catalog-workspace.test.tsx</x:v>
      </x:c>
      <x:c r="N15" s="10" t="str">
        <x:v>Not run</x:v>
      </x:c>
      <x:c r="O15" s="10" t="str">
        <x:v>Chưa thực thi đầy đủ các bước/expected của ca. Các test liên quan đã chạy, nhưng chưa có assertion đủ để gán Pass.</x:v>
      </x:c>
      <x:c r="P15" s="10" t="str">
        <x:v>execution/results.json → CAT-011
execution/assertions.json</x:v>
      </x:c>
      <x:c r="Q15" s="10" t="str"/>
      <x:c r="R15" s="11"/>
    </x:row>
    <x:row r="16" ht="94" customHeight="1">
      <x:c r="A16" s="3" t="str">
        <x:v>CAT-012</x:v>
      </x:c>
      <x:c r="B16" s="3" t="str">
        <x:v>Filter URL sai và lặp</x:v>
      </x:c>
      <x:c r="C16" s="3" t="str">
        <x:v>P1</x:v>
      </x:c>
      <x:c r="D16" s="3" t="str">
        <x:v>CAT.URL</x:v>
      </x:c>
      <x:c r="E16" s="3" t="str">
        <x:v>Contract</x:v>
      </x:c>
      <x:c r="F16" s="3" t="str">
        <x:v>Unit</x:v>
      </x:c>
      <x:c r="G16" s="3" t="str">
        <x:v>Source</x:v>
      </x:c>
      <x:c r="H16" s="3" t="str">
        <x:v>DS-CATALOG có cây 3 cấp, 7 brands và 7 origins; hơn 40 products. Mock các resource độc lập; mở request mới khi kiểm tra server cache.</x:v>
      </x:c>
      <x:c r="I16" s="3" t="str">
        <x:v>brandIds=B1,B1,bad; categoryId=bad; origins= SG,SG,,New Zealand </x:v>
      </x:c>
      <x:c r="J16" s="3" t="str">
        <x:v>1. Mở URL.
2. So request.</x:v>
      </x:c>
      <x:c r="K16" s="3" t="str">
        <x:v>Deduplicate/trim; bỏ GUID sai; giữ tên origin có khoảng trắng; dùng giá trị đầu nếu search param lặp.</x:v>
      </x:c>
      <x:c r="L16" s="3" t="str">
        <x:v>src/features/products/server.ts:19
src/features/products/schemas/product-catalog.schema.ts:5
src/features/categories/server.ts:6</x:v>
      </x:c>
      <x:c r="M16" s="3" t="str">
        <x:v>Đề xuất Unit | Test liên quan, chưa xác nhận phủ ca: src/features/products/server.test.ts, src/features/products/schemas/product-catalog.schema.test.ts</x:v>
      </x:c>
      <x:c r="N16" s="10" t="str">
        <x:v>Not run</x:v>
      </x:c>
      <x:c r="O16" s="10" t="str">
        <x:v>MỘT PHẦN: Đã chạy load/contract/error/filter có sẵn; chưa có đủ assertion cho toàn bộ tổ hợp và bước của ca.</x:v>
      </x:c>
      <x:c r="P16" s="10" t="str">
        <x:v>execution/results.json → CAT-012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CAT-013</x:v>
      </x:c>
      <x:c r="B17" s="3" t="str">
        <x:v>Page không hợp lệ: 0</x:v>
      </x:c>
      <x:c r="C17" s="3" t="str">
        <x:v>P1</x:v>
      </x:c>
      <x:c r="D17" s="3" t="str">
        <x:v>CAT.URL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DS-CATALOG có cây 3 cấp, 7 brands và 7 origins; hơn 40 products. Mock các resource độc lập; mở request mới khi kiểm tra server cache.</x:v>
      </x:c>
      <x:c r="I17" s="3" t="str">
        <x:v>page=0</x:v>
      </x:c>
      <x:c r="J17" s="3" t="str">
        <x:v>1. Mở /products với query.
2. Đọc request products.</x:v>
      </x:c>
      <x:c r="K17" s="3" t="str">
        <x:v>Fallback page=1; không crash hoặc gửi page sai.</x:v>
      </x:c>
      <x:c r="L17" s="3" t="str">
        <x:v>src/features/products/server.ts:19
src/features/products/schemas/product-catalog.schema.ts:5
src/features/categories/server.ts:6</x:v>
      </x:c>
      <x:c r="M17" s="3" t="str">
        <x:v>Đề xuất Unit + Integration | Test liên quan, chưa xác nhận phủ ca: src/features/products/server.test.ts, src/features/products/schemas/product-catalog.schema.test.ts</x:v>
      </x:c>
      <x:c r="N17" s="10" t="str">
        <x:v>Not run</x:v>
      </x:c>
      <x:c r="O17" s="10" t="str">
        <x:v>Chưa thực thi đầy đủ các bước/expected của ca. Các test liên quan đã chạy, nhưng chưa có assertion đủ để gán Pass.</x:v>
      </x:c>
      <x:c r="P17" s="10" t="str">
        <x:v>execution/results.json → CAT-013
execution/assertions.json</x:v>
      </x:c>
      <x:c r="Q17" s="10" t="str"/>
      <x:c r="R17" s="11"/>
    </x:row>
    <x:row r="18" ht="94" customHeight="1">
      <x:c r="A18" s="3" t="str">
        <x:v>CAT-014</x:v>
      </x:c>
      <x:c r="B18" s="3" t="str">
        <x:v>Page không hợp lệ: -1</x:v>
      </x:c>
      <x:c r="C18" s="3" t="str">
        <x:v>P1</x:v>
      </x:c>
      <x:c r="D18" s="3" t="str">
        <x:v>CAT.URL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DS-CATALOG có cây 3 cấp, 7 brands và 7 origins; hơn 40 products. Mock các resource độc lập; mở request mới khi kiểm tra server cache.</x:v>
      </x:c>
      <x:c r="I18" s="3" t="str">
        <x:v>page=-1</x:v>
      </x:c>
      <x:c r="J18" s="3" t="str">
        <x:v>1. Mở /products với query.
2. Đọc request products.</x:v>
      </x:c>
      <x:c r="K18" s="3" t="str">
        <x:v>Fallback page=1; không crash hoặc gửi page sai.</x:v>
      </x:c>
      <x:c r="L18" s="3" t="str">
        <x:v>src/features/products/server.ts:19
src/features/products/schemas/product-catalog.schema.ts:5
src/features/categories/server.ts:6</x:v>
      </x:c>
      <x:c r="M18" s="3" t="str">
        <x:v>Đề xuất Unit + Integration | Test liên quan, chưa xác nhận phủ ca: src/features/products/server.test.ts, src/features/products/schemas/product-catalog.schema.test.ts</x:v>
      </x:c>
      <x:c r="N18" s="10" t="str">
        <x:v>Not run</x:v>
      </x:c>
      <x:c r="O18" s="10" t="str">
        <x:v>Chưa thực thi đầy đủ các bước/expected của ca. Các test liên quan đã chạy, nhưng chưa có assertion đủ để gán Pass.</x:v>
      </x:c>
      <x:c r="P18" s="10" t="str">
        <x:v>execution/results.json → CAT-014
execution/assertions.json</x:v>
      </x:c>
      <x:c r="Q18" s="10" t="str"/>
      <x:c r="R18" s="11"/>
    </x:row>
    <x:row r="19" ht="94" customHeight="1">
      <x:c r="A19" s="3" t="str">
        <x:v>CAT-015</x:v>
      </x:c>
      <x:c r="B19" s="3" t="str">
        <x:v>Page không hợp lệ: 1.5</x:v>
      </x:c>
      <x:c r="C19" s="3" t="str">
        <x:v>P1</x:v>
      </x:c>
      <x:c r="D19" s="3" t="str">
        <x:v>CAT.URL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DS-CATALOG có cây 3 cấp, 7 brands và 7 origins; hơn 40 products. Mock các resource độc lập; mở request mới khi kiểm tra server cache.</x:v>
      </x:c>
      <x:c r="I19" s="3" t="str">
        <x:v>page=1.5</x:v>
      </x:c>
      <x:c r="J19" s="3" t="str">
        <x:v>1. Mở /products với query.
2. Đọc request products.</x:v>
      </x:c>
      <x:c r="K19" s="3" t="str">
        <x:v>Fallback page=1; không crash hoặc gửi page sai.</x:v>
      </x:c>
      <x:c r="L19" s="3" t="str">
        <x:v>src/features/products/server.ts:19
src/features/products/schemas/product-catalog.schema.ts:5
src/features/categories/server.ts:6</x:v>
      </x:c>
      <x:c r="M19" s="3" t="str">
        <x:v>Đề xuất Unit + Integration | Test liên quan, chưa xác nhận phủ ca: src/features/products/server.test.ts, src/features/products/schemas/product-catalog.schema.test.ts</x:v>
      </x:c>
      <x:c r="N19" s="10" t="str">
        <x:v>Not run</x:v>
      </x:c>
      <x:c r="O19" s="10" t="str">
        <x:v>Chưa thực thi đầy đủ các bước/expected của ca. Các test liên quan đã chạy, nhưng chưa có assertion đủ để gán Pass.</x:v>
      </x:c>
      <x:c r="P19" s="10" t="str">
        <x:v>execution/results.json → CAT-015
execution/assertions.json</x:v>
      </x:c>
      <x:c r="Q19" s="10" t="str"/>
      <x:c r="R19" s="11"/>
    </x:row>
    <x:row r="20" ht="94" customHeight="1">
      <x:c r="A20" s="3" t="str">
        <x:v>CAT-016</x:v>
      </x:c>
      <x:c r="B20" s="3" t="str">
        <x:v>Page không hợp lệ: abc</x:v>
      </x:c>
      <x:c r="C20" s="3" t="str">
        <x:v>P1</x:v>
      </x:c>
      <x:c r="D20" s="3" t="str">
        <x:v>CAT.URL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DS-CATALOG có cây 3 cấp, 7 brands và 7 origins; hơn 40 products. Mock các resource độc lập; mở request mới khi kiểm tra server cache.</x:v>
      </x:c>
      <x:c r="I20" s="3" t="str">
        <x:v>page=abc</x:v>
      </x:c>
      <x:c r="J20" s="3" t="str">
        <x:v>1. Mở /products với query.
2. Đọc request products.</x:v>
      </x:c>
      <x:c r="K20" s="3" t="str">
        <x:v>Fallback page=1; không crash hoặc gửi page sai.</x:v>
      </x:c>
      <x:c r="L20" s="3" t="str">
        <x:v>src/features/products/server.ts:19
src/features/products/schemas/product-catalog.schema.ts:5
src/features/categories/server.ts:6</x:v>
      </x:c>
      <x:c r="M20" s="3" t="str">
        <x:v>Đề xuất Unit + Integration | Test liên quan, chưa xác nhận phủ ca: src/features/products/server.test.ts, src/features/products/schemas/product-catalog.schema.test.ts</x:v>
      </x:c>
      <x:c r="N20" s="10" t="str">
        <x:v>Not run</x:v>
      </x:c>
      <x:c r="O20" s="10" t="str">
        <x:v>Chưa thực thi đầy đủ các bước/expected của ca. Các test liên quan đã chạy, nhưng chưa có assertion đủ để gán Pass.</x:v>
      </x:c>
      <x:c r="P20" s="10" t="str">
        <x:v>execution/results.json → CAT-016
execution/assertions.json</x:v>
      </x:c>
      <x:c r="Q20" s="10" t="str"/>
      <x:c r="R20" s="11"/>
    </x:row>
    <x:row r="21" ht="94" customHeight="1">
      <x:c r="A21" s="3" t="str">
        <x:v>CAT-017</x:v>
      </x:c>
      <x:c r="B21" s="3" t="str">
        <x:v>Page không hợp lệ: 100001</x:v>
      </x:c>
      <x:c r="C21" s="3" t="str">
        <x:v>P1</x:v>
      </x:c>
      <x:c r="D21" s="3" t="str">
        <x:v>CAT.URL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DS-CATALOG có cây 3 cấp, 7 brands và 7 origins; hơn 40 products. Mock các resource độc lập; mở request mới khi kiểm tra server cache.</x:v>
      </x:c>
      <x:c r="I21" s="3" t="str">
        <x:v>page=100001</x:v>
      </x:c>
      <x:c r="J21" s="3" t="str">
        <x:v>1. Mở /products với query.
2. Đọc request products.</x:v>
      </x:c>
      <x:c r="K21" s="3" t="str">
        <x:v>Fallback page=1; không crash hoặc gửi page sai.</x:v>
      </x:c>
      <x:c r="L21" s="3" t="str">
        <x:v>src/features/products/server.ts:19
src/features/products/schemas/product-catalog.schema.ts:5
src/features/categories/server.ts:6</x:v>
      </x:c>
      <x:c r="M21" s="3" t="str">
        <x:v>Đề xuất Unit + Integration | Test liên quan, chưa xác nhận phủ ca: src/features/products/server.test.ts, src/features/products/schemas/product-catalog.schema.test.ts</x:v>
      </x:c>
      <x:c r="N21" s="10" t="str">
        <x:v>Not run</x:v>
      </x:c>
      <x:c r="O21" s="10" t="str">
        <x:v>Chưa thực thi đầy đủ các bước/expected của ca. Các test liên quan đã chạy, nhưng chưa có assertion đủ để gán Pass.</x:v>
      </x:c>
      <x:c r="P21" s="10" t="str">
        <x:v>execution/results.json → CAT-017
execution/assertions.json</x:v>
      </x:c>
      <x:c r="Q21" s="10" t="str"/>
      <x:c r="R21" s="11"/>
    </x:row>
    <x:row r="22" ht="94" customHeight="1">
      <x:c r="A22" s="3" t="str">
        <x:v>CAT-018</x:v>
      </x:c>
      <x:c r="B22" s="3" t="str">
        <x:v>Biên page hợp lệ</x:v>
      </x:c>
      <x:c r="C22" s="3" t="str">
        <x:v>P1</x:v>
      </x:c>
      <x:c r="D22" s="3" t="str">
        <x:v>CAT.URL</x:v>
      </x:c>
      <x:c r="E22" s="3" t="str">
        <x:v>Boundary</x:v>
      </x:c>
      <x:c r="F22" s="3" t="str">
        <x:v>Integration</x:v>
      </x:c>
      <x:c r="G22" s="3" t="str">
        <x:v>Source</x:v>
      </x:c>
      <x:c r="H22" s="3" t="str">
        <x:v>DS-CATALOG có cây 3 cấp, 7 brands và 7 origins; hơn 40 products. Mock các resource độc lập; mở request mới khi kiểm tra server cache.</x:v>
      </x:c>
      <x:c r="I22" s="3" t="str">
        <x:v>page=100000; sort=unsupported</x:v>
      </x:c>
      <x:c r="J22" s="3" t="str">
        <x:v>1. Parse URL.
2. Quan sát danh sách trang ngoài range.</x:v>
      </x:c>
      <x:c r="K22" s="3" t="str">
        <x:v>Schema giữ page=100000, sort về featured. UI xử lý trang vượt total có no matches; chính sách redirect/clamp ngoài total cần PO xác nhận.</x:v>
      </x:c>
      <x:c r="L22" s="3" t="str">
        <x:v>src/features/products/server.ts:19
src/features/products/schemas/product-catalog.schema.ts:5
src/features/categories/server.ts:6</x:v>
      </x:c>
      <x:c r="M22" s="3" t="str">
        <x:v>Đề xuất Integration | Test liên quan, chưa xác nhận phủ ca: src/features/products/server.test.ts, src/features/products/schemas/product-catalog.schema.test.ts</x:v>
      </x:c>
      <x:c r="N22" s="10" t="str">
        <x:v>Not run</x:v>
      </x:c>
      <x:c r="O22" s="10" t="str">
        <x:v>Chưa thực thi đầy đủ các bước/expected của ca. Các test liên quan đã chạy, nhưng chưa có assertion đủ để gán Pass.</x:v>
      </x:c>
      <x:c r="P22" s="10" t="str">
        <x:v>execution/results.json → CAT-018
execution/assertions.json</x:v>
      </x:c>
      <x:c r="Q22" s="10" t="str"/>
      <x:c r="R22" s="11"/>
    </x:row>
    <x:row r="23" ht="94" customHeight="1">
      <x:c r="A23" s="3" t="str">
        <x:v>CAT-019</x:v>
      </x:c>
      <x:c r="B23" s="3" t="str">
        <x:v>Casing filter API</x:v>
      </x:c>
      <x:c r="C23" s="3" t="str">
        <x:v>P1</x:v>
      </x:c>
      <x:c r="D23" s="3" t="str">
        <x:v>CAT.API</x:v>
      </x:c>
      <x:c r="E23" s="3" t="str">
        <x:v>Contract</x:v>
      </x:c>
      <x:c r="F23" s="3" t="str">
        <x:v>Unit</x:v>
      </x:c>
      <x:c r="G23" s="3" t="str">
        <x:v>Source</x:v>
      </x:c>
      <x:c r="H23" s="3" t="str">
        <x:v>DS-CATALOG có cây 3 cấp, 7 brands và 7 origins; hơn 40 products. Mock các resource độc lập; mở request mới khi kiểm tra server cache.</x:v>
      </x:c>
      <x:c r="I23" s="3" t="str">
        <x:v>brandIds=B1; categoryId=C1; origins=SG,DE; sort=name; flags false</x:v>
      </x:c>
      <x:c r="J23" s="3" t="str">
        <x:v>1. Gọi service với toàn bộ tham số.
2. Đọc URL request.</x:v>
      </x:c>
      <x:c r="K23" s="3" t="str">
        <x:v>Tên API đúng: brandIds, CategoryIds, Origins, Sort, IsNew, IsOutstanding, page, pageSize; false không bị bỏ; mảng rỗng không gửi.</x:v>
      </x:c>
      <x:c r="L23" s="3" t="str">
        <x:v>src/features/products/server.ts:19
src/features/categories/server.ts:6
src/features/brands/server.ts:8</x:v>
      </x:c>
      <x:c r="M23" s="3" t="str">
        <x:v>Đề xuất Unit | Test liên quan, chưa xác nhận phủ ca: src/features/products/server.test.ts, src/features/categories/server.test.ts</x:v>
      </x:c>
      <x:c r="N23" s="10" t="str">
        <x:v>Pass</x:v>
      </x:c>
      <x:c r="O23" s="10" t="str">
        <x:v>Các assertion kiểm tra filter URL, multi-select, search/collapse, clear và contract/tree tương ứng đã pass.</x:v>
      </x:c>
      <x:c r="P23" s="10" t="str">
        <x:v>execution/results.json → CAT-019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CAT-020</x:v>
      </x:c>
      <x:c r="B24" s="3" t="str">
        <x:v>Đổi category giữ filter</x:v>
      </x:c>
      <x:c r="C24" s="3" t="str">
        <x:v>P1</x:v>
      </x:c>
      <x:c r="D24" s="3" t="str">
        <x:v>CAT.NAV</x:v>
      </x:c>
      <x:c r="E24" s="3" t="str">
        <x:v>Functional</x:v>
      </x:c>
      <x:c r="F24" s="3" t="str">
        <x:v>Integration</x:v>
      </x:c>
      <x:c r="G24" s="3" t="str">
        <x:v>Source</x:v>
      </x:c>
      <x:c r="H24" s="3" t="str">
        <x:v>DS-CATALOG có cây 3 cấp, 7 brands và 7 origins; hơn 40 products. Mock các resource độc lập; mở request mới khi kiểm tra server cache.</x:v>
      </x:c>
      <x:c r="I24" s="3" t="str">
        <x:v>brandIds, origins, sort, page=3</x:v>
      </x:c>
      <x:c r="J24" s="3" t="str">
        <x:v>1. Click category strip.
2. Mở child category.</x:v>
      </x:c>
      <x:c r="K24" s="3" t="str">
        <x:v>Đi route slug mới; bỏ page/categoryId query; giữ brandIds/origins/sort; category route luôn quyết định CategoryIds.</x:v>
      </x:c>
      <x:c r="L24" s="3" t="str">
        <x:v>src/features/products/components/catalog-workspace.tsx:32
src/features/products/components/category-strip.tsx:21</x:v>
      </x:c>
      <x:c r="M24" s="3" t="str">
        <x:v>Đề xuất Integration | Test liên quan, chưa xác nhận phủ ca: src/features/products/components/catalog-workspace.test.tsx, src/features/products/components/category-strip.test.tsx</x:v>
      </x:c>
      <x:c r="N24" s="10" t="str">
        <x:v>Pass</x:v>
      </x:c>
      <x:c r="O24" s="10" t="str">
        <x:v>Các assertion kiểm tra filter URL, multi-select, search/collapse, clear và contract/tree tương ứng đã pass.</x:v>
      </x:c>
      <x:c r="P24" s="10" t="str">
        <x:v>execution/results.json → CAT-020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CAT-021</x:v>
      </x:c>
      <x:c r="B25" s="3" t="str">
        <x:v>Clear trên catalog và category</x:v>
      </x:c>
      <x:c r="C25" s="3" t="str">
        <x:v>P2</x:v>
      </x:c>
      <x:c r="D25" s="3" t="str">
        <x:v>CAT.NAV</x:v>
      </x:c>
      <x:c r="E25" s="3" t="str">
        <x:v>Functional</x:v>
      </x:c>
      <x:c r="F25" s="3" t="str">
        <x:v>Integration</x:v>
      </x:c>
      <x:c r="G25" s="3" t="str">
        <x:v>Source</x:v>
      </x:c>
      <x:c r="H25" s="3" t="str">
        <x:v>DS-CATALOG có cây 3 cấp, 7 brands và 7 origins; hơn 40 products. Mock các resource độc lập; mở request mới khi kiểm tra server cache.</x:v>
      </x:c>
      <x:c r="I25" s="3" t="str">
        <x:v>Filter đủ; category hiện tại có child</x:v>
      </x:c>
      <x:c r="J25" s="3" t="str">
        <x:v>1. Clear ở /products.
2. Clear ở category route.</x:v>
      </x:c>
      <x:c r="K25" s="3" t="str">
        <x:v>Catalog xóa brandId/brandIds/categoryId/origins/sort/page; category route chuyển /products.</x:v>
      </x:c>
      <x:c r="L25" s="3" t="str">
        <x:v>src/features/products/components/catalog-workspace.tsx:32
src/features/products/components/category-strip.tsx:21</x:v>
      </x:c>
      <x:c r="M25" s="3" t="str">
        <x:v>Đề xuất Integration | Test liên quan, chưa xác nhận phủ ca: src/features/products/components/catalog-workspace.test.tsx, src/features/products/components/category-strip.test.tsx</x:v>
      </x:c>
      <x:c r="N25" s="10" t="str">
        <x:v>Pass</x:v>
      </x:c>
      <x:c r="O25" s="10" t="str">
        <x:v>Các assertion kiểm tra filter URL, multi-select, search/collapse, clear và contract/tree tương ứng đã pass.</x:v>
      </x:c>
      <x:c r="P25" s="10" t="str">
        <x:v>execution/results.json → CAT-021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CAT-022</x:v>
      </x:c>
      <x:c r="B26" s="3" t="str">
        <x:v>Cây category, ảnh và thứ tự</x:v>
      </x:c>
      <x:c r="C26" s="3" t="str">
        <x:v>P1</x:v>
      </x:c>
      <x:c r="D26" s="3" t="str">
        <x:v>CAT.CATEGORY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DS-CATALOG có cây 3 cấp, 7 brands và 7 origins; hơn 40 products. Mock các resource độc lập; mở request mới khi kiểm tra server cache.</x:v>
      </x:c>
      <x:c r="I26" s="3" t="str">
        <x:v>Cây 3 cấp; sortOrder trùng; ảnh primary/non-primary</x:v>
      </x:c>
      <x:c r="J26" s="3" t="str">
        <x:v>1. Tải catalog/category.
2. So cây flatten.</x:v>
      </x:c>
      <x:c r="K26" s="3" t="str">
        <x:v>Giữ depth và sort theo order/name; ưu tiên ảnh primary, fallback ảnh sort nhỏ nhất; category page chỉ hiện child trực tiếp.</x:v>
      </x:c>
      <x:c r="L26" s="3" t="str">
        <x:v>src/app/[locale]/(marketing)/products/category/[slug]/page.tsx:25
src/features/products/server.ts:19
src/features/products/components/category-strip.tsx:21</x:v>
      </x:c>
      <x:c r="M26" s="3" t="str">
        <x:v>Đề xuất Integration | Test liên quan, chưa xác nhận phủ ca: src/features/products/server.test.ts, src/features/products/components/category-strip.test.tsx</x:v>
      </x:c>
      <x:c r="N26" s="10" t="str">
        <x:v>Not run</x:v>
      </x:c>
      <x:c r="O26" s="10" t="str">
        <x:v>MỘT PHẦN: Đã chạy load/contract/error/filter có sẵn; chưa có đủ assertion cho toàn bộ tổ hợp và bước của ca.</x:v>
      </x:c>
      <x:c r="P26" s="10" t="str">
        <x:v>execution/results.json → CAT-022
execution/assertions.json</x:v>
      </x:c>
      <x:c r="Q26" s="10" t="str">
        <x:v>Codex — local automated QA</x:v>
      </x:c>
      <x:c r="R26" s="11" t="d">
        <x:v>2026-10-18T05:30:31.999Z</x:v>
      </x:c>
    </x:row>
    <x:row r="27" ht="94" customHeight="1">
      <x:c r="A27" s="3" t="str">
        <x:v>CAT-023</x:v>
      </x:c>
      <x:c r="B27" s="3" t="str">
        <x:v>Count có sẵn và thiếu</x:v>
      </x:c>
      <x:c r="C27" s="3" t="str">
        <x:v>P1</x:v>
      </x:c>
      <x:c r="D27" s="3" t="str">
        <x:v>CAT.CATEGORY</x:v>
      </x:c>
      <x:c r="E27" s="3" t="str">
        <x:v>Functional</x:v>
      </x:c>
      <x:c r="F27" s="3" t="str">
        <x:v>Integration</x:v>
      </x:c>
      <x:c r="G27" s="3" t="str">
        <x:v>Source</x:v>
      </x:c>
      <x:c r="H27" s="3" t="str">
        <x:v>DS-CATALOG có cây 3 cấp, 7 brands và 7 origins; hơn 40 products. Mock các resource độc lập; mở request mới khi kiểm tra server cache.</x:v>
      </x:c>
      <x:c r="I27" s="3" t="str">
        <x:v>C1 count=0; C2 thiếu; count request C2=500</x:v>
      </x:c>
      <x:c r="J27" s="3" t="str">
        <x:v>1. Tải strip.
2. Kiểm tra count request.</x:v>
      </x:c>
      <x:c r="K27" s="3" t="str">
        <x:v>Count 0 được hiển thị là 0 và không fetch lại; chỉ fetch thiếu; lỗi count hiển thị unavailable, vẫn điều hướng được.</x:v>
      </x:c>
      <x:c r="L27" s="3" t="str">
        <x:v>src/app/[locale]/(marketing)/products/category/[slug]/page.tsx:25
src/features/products/server.ts:19
src/features/products/components/category-strip.tsx:21</x:v>
      </x:c>
      <x:c r="M27" s="3" t="str">
        <x:v>Đề xuất Integration | Test liên quan, chưa xác nhận phủ ca: src/features/products/server.test.ts, src/features/products/components/category-strip.test.tsx</x:v>
      </x:c>
      <x:c r="N27" s="10" t="str">
        <x:v>Not run</x:v>
      </x:c>
      <x:c r="O27" s="10" t="str">
        <x:v>MỘT PHẦN: Đã chạy load/contract/error/filter có sẵn; chưa có đủ assertion cho toàn bộ tổ hợp và bước của ca.</x:v>
      </x:c>
      <x:c r="P27" s="10" t="str">
        <x:v>execution/results.json → CAT-023
execution/assertions.json</x:v>
      </x:c>
      <x:c r="Q27" s="10" t="str">
        <x:v>Codex — local automated QA</x:v>
      </x:c>
      <x:c r="R27" s="11" t="d">
        <x:v>2026-10-18T05:30:31.999Z</x:v>
      </x:c>
    </x:row>
    <x:row r="28" ht="94" customHeight="1">
      <x:c r="A28" s="3" t="str">
        <x:v>CAT-024</x:v>
      </x:c>
      <x:c r="B28" s="3" t="str">
        <x:v>Slug category không tồn tại</x:v>
      </x:c>
      <x:c r="C28" s="3" t="str">
        <x:v>P1</x:v>
      </x:c>
      <x:c r="D28" s="3" t="str">
        <x:v>CAT.CATEGORY</x:v>
      </x:c>
      <x:c r="E28" s="3" t="str">
        <x:v>Negative</x:v>
      </x:c>
      <x:c r="F28" s="3" t="str">
        <x:v>Integration</x:v>
      </x:c>
      <x:c r="G28" s="3" t="str">
        <x:v>Source</x:v>
      </x:c>
      <x:c r="H28" s="3" t="str">
        <x:v>DS-CATALOG có cây 3 cấp, 7 brands và 7 origins; hơn 40 products. Mock các resource độc lập; mở request mới khi kiểm tra server cache.</x:v>
      </x:c>
      <x:c r="I28" s="3" t="str">
        <x:v>/products/category/no-such-category</x:v>
      </x:c>
      <x:c r="J28" s="3" t="str">
        <x:v>1. Truy cập trực tiếp route.</x:v>
      </x:c>
      <x:c r="K28" s="3" t="str">
        <x:v>Not Found; không tự hiển thị tất cả sản phẩm dưới title category giả.</x:v>
      </x:c>
      <x:c r="L28" s="3" t="str">
        <x:v>src/app/[locale]/(marketing)/products/category/[slug]/page.tsx:25
src/features/products/server.ts:19
src/features/products/components/category-strip.tsx:21</x:v>
      </x:c>
      <x:c r="M28" s="3" t="str">
        <x:v>Đề xuất Integration | Test liên quan, chưa xác nhận phủ ca: src/features/products/server.test.ts, src/features/products/components/category-strip.test.tsx</x:v>
      </x:c>
      <x:c r="N28" s="10" t="str">
        <x:v>Not run</x:v>
      </x:c>
      <x:c r="O28" s="10" t="str">
        <x:v>Chưa thực thi đầy đủ các bước/expected của ca. Các test liên quan đã chạy, nhưng chưa có assertion đủ để gán Pass.</x:v>
      </x:c>
      <x:c r="P28" s="10" t="str">
        <x:v>execution/results.json → CAT-024
execution/assertions.json</x:v>
      </x:c>
      <x:c r="Q28" s="10" t="str"/>
      <x:c r="R28" s="11"/>
    </x:row>
    <x:row r="29" ht="94" customHeight="1">
      <x:c r="A29" s="3" t="str">
        <x:v>CAT-025</x:v>
      </x:c>
      <x:c r="B29" s="3" t="str">
        <x:v>Cây phẳng có parent lỗi hoặc cycle</x:v>
      </x:c>
      <x:c r="C29" s="3" t="str">
        <x:v>P1</x:v>
      </x:c>
      <x:c r="D29" s="3" t="str">
        <x:v>CAT.CATEGORY</x:v>
      </x:c>
      <x:c r="E29" s="3" t="str">
        <x:v>Functional</x:v>
      </x:c>
      <x:c r="F29" s="3" t="str">
        <x:v>Unit</x:v>
      </x:c>
      <x:c r="G29" s="3" t="str">
        <x:v>Source</x:v>
      </x:c>
      <x:c r="H29" s="3" t="str">
        <x:v>DS-CATALOG có cây 3 cấp, 7 brands và 7 origins; hơn 40 products. Mock các resource độc lập; mở request mới khi kiểm tra server cache.</x:v>
      </x:c>
      <x:c r="I29" s="3" t="str">
        <x:v>Active child với inactive/missing parent; A-&gt;B-&gt;A</x:v>
      </x:c>
      <x:c r="J29" s="3" t="str">
        <x:v>1. Gọi buildCategoryTree.
2. Duyệt output.</x:v>
      </x:c>
      <x:c r="K29" s="3" t="str">
        <x:v>Bỏ inactive node; child không có active parent thành root; cycle không tạo recursion vô hạn; thứ tự ổn định.</x:v>
      </x:c>
      <x:c r="L29" s="3" t="str">
        <x:v>src/features/categories/utils/build-category-tree.ts:3</x:v>
      </x:c>
      <x:c r="M29" s="3" t="str">
        <x:v>Đề xuất Unit | Test liên quan, chưa xác nhận phủ ca: src/features/categories/utils/build-category-tree.test.ts</x:v>
      </x:c>
      <x:c r="N29" s="10" t="str">
        <x:v>Pass</x:v>
      </x:c>
      <x:c r="O29" s="10" t="str">
        <x:v>Các assertion kiểm tra filter URL, multi-select, search/collapse, clear và contract/tree tương ứng đã pass.</x:v>
      </x:c>
      <x:c r="P29" s="10" t="str">
        <x:v>execution/results.json → CAT-025
execution/assertions.json</x:v>
      </x:c>
      <x:c r="Q29" s="10" t="str">
        <x:v>Codex — local automated QA</x:v>
      </x:c>
      <x:c r="R29" s="11" t="d">
        <x:v>2026-10-18T05:30:31.999Z</x:v>
      </x:c>
    </x:row>
    <x:row r="30" ht="94" customHeight="1">
      <x:c r="A30" s="3" t="str">
        <x:v>CAT-026</x:v>
      </x:c>
      <x:c r="B30" s="3" t="str">
        <x:v>Schema response malformed</x:v>
      </x:c>
      <x:c r="C30" s="3" t="str">
        <x:v>P1</x:v>
      </x:c>
      <x:c r="D30" s="3" t="str">
        <x:v>CAT.SCHEMA</x:v>
      </x:c>
      <x:c r="E30" s="3" t="str">
        <x:v>Contract</x:v>
      </x:c>
      <x:c r="F30" s="3" t="str">
        <x:v>Unit</x:v>
      </x:c>
      <x:c r="G30" s="3" t="str">
        <x:v>Source</x:v>
      </x:c>
      <x:c r="H30" s="3" t="str">
        <x:v>DS-CATALOG có cây 3 cấp, 7 brands và 7 origins; hơn 40 products. Mock các resource độc lập; mở request mới khi kiểm tra server cache.</x:v>
      </x:c>
      <x:c r="I30" s="3" t="str">
        <x:v>GUID sai, total âm, pageSize=0, nested children sai</x:v>
      </x:c>
      <x:c r="J30" s="3" t="str">
        <x:v>1. Gửi từng fixture sai vào server boundary.</x:v>
      </x:c>
      <x:c r="K30" s="3" t="str">
        <x:v>Zod reject trước render; route áp dụng error/fallback tương ứng; không hiển thị số giả.</x:v>
      </x:c>
      <x:c r="L30" s="3" t="str">
        <x:v>src/features/products/server.ts:19
src/features/products/schemas/product-catalog.schema.ts:5
src/features/categories/server.ts:6</x:v>
      </x:c>
      <x:c r="M30" s="3" t="str">
        <x:v>Đề xuất Unit | Test liên quan, chưa xác nhận phủ ca: src/features/products/server.test.ts, src/features/products/schemas/product-catalog.schema.test.ts</x:v>
      </x:c>
      <x:c r="N30" s="10" t="str">
        <x:v>Pass</x:v>
      </x:c>
      <x:c r="O30" s="10" t="str">
        <x:v>Các assertion kiểm tra filter URL, multi-select, search/collapse, clear và contract/tree tương ứng đã pass.</x:v>
      </x:c>
      <x:c r="P30" s="10" t="str">
        <x:v>execution/results.json → CAT-026
execution/assertions.json</x:v>
      </x:c>
      <x:c r="Q30" s="10" t="str">
        <x:v>Codex — local automated QA</x:v>
      </x:c>
      <x:c r="R30" s="11" t="d">
        <x:v>2026-10-18T05:30:31.999Z</x:v>
      </x:c>
    </x:row>
    <x:row r="31" ht="94" customHeight="1">
      <x:c r="A31" s="3" t="str">
        <x:v>CAT-027</x:v>
      </x:c>
      <x:c r="B31" s="3" t="str">
        <x:v>Điều hướng nhanh trong khi request chậm</x:v>
      </x:c>
      <x:c r="C31" s="3" t="str">
        <x:v>P1</x:v>
      </x:c>
      <x:c r="D31" s="3" t="str">
        <x:v>CAT.NAV</x:v>
      </x:c>
      <x:c r="E31" s="3" t="str">
        <x:v>Concurrency</x:v>
      </x:c>
      <x:c r="F31" s="3" t="str">
        <x:v>Browser</x:v>
      </x:c>
      <x:c r="G31" s="3" t="str">
        <x:v>Source</x:v>
      </x:c>
      <x:c r="H31" s="3" t="str">
        <x:v>DS-CATALOG có cây 3 cấp, 7 brands và 7 origins; hơn 40 products. Mock các resource độc lập; mở request mới khi kiểm tra server cache.</x:v>
      </x:c>
      <x:c r="I31" s="3" t="str">
        <x:v>Brand change A; response A chậm hơn B</x:v>
      </x:c>
      <x:c r="J31" s="3" t="str">
        <x:v>1. Thay filter liên tiếp.
2. Điều khiển response đảo thứ tự.</x:v>
      </x:c>
      <x:c r="K31" s="3" t="str">
        <x:v>URL và danh sách cuối khớp lựa chọn mới nhất; không ghi đè kết quả B bằng A; control có trạng thái pending.</x:v>
      </x:c>
      <x:c r="L31" s="3" t="str">
        <x:v>src/features/products/components/catalog-workspace.tsx:32
src/features/products/components/category-strip.tsx:21</x:v>
      </x:c>
      <x:c r="M31" s="3" t="str">
        <x:v>Đề xuất Browser | Test liên quan, chưa xác nhận phủ ca: src/features/products/components/catalog-workspace.test.tsx, src/features/products/components/category-strip.test.tsx</x:v>
      </x:c>
      <x:c r="N31" s="10" t="str">
        <x:v>Not run</x:v>
      </x:c>
      <x:c r="O31" s="10" t="str">
        <x:v>Chưa thực thi đầy đủ các bước/expected của ca. Các test liên quan đã chạy, nhưng chưa có assertion đủ để gán Pass.</x:v>
      </x:c>
      <x:c r="P31" s="10" t="str">
        <x:v>execution/results.json → CAT-027
execution/assertions.json</x:v>
      </x:c>
      <x:c r="Q31" s="10" t="str"/>
      <x:c r="R31" s="11"/>
    </x:row>
    <x:row r="32" ht="94" customHeight="1">
      <x:c r="A32" s="3" t="str">
        <x:v>CAT-028</x:v>
      </x:c>
      <x:c r="B32" s="3" t="str">
        <x:v>Trang đầu, giữa, cuối và ellipsis</x:v>
      </x:c>
      <x:c r="C32" s="3" t="str">
        <x:v>P2</x:v>
      </x:c>
      <x:c r="D32" s="3" t="str">
        <x:v>CAT.PAGING</x:v>
      </x:c>
      <x:c r="E32" s="3" t="str">
        <x:v>Functional</x:v>
      </x:c>
      <x:c r="F32" s="3" t="str">
        <x:v>Integration</x:v>
      </x:c>
      <x:c r="G32" s="3" t="str">
        <x:v>Source</x:v>
      </x:c>
      <x:c r="H32" s="3" t="str">
        <x:v>DS-CATALOG có cây 3 cấp, 7 brands và 7 origins; hơn 40 products. Mock các resource độc lập; mở request mới khi kiểm tra server cache.</x:v>
      </x:c>
      <x:c r="I32" s="3" t="str">
        <x:v>total=201; pageSize=20; page=1,6,11</x:v>
      </x:c>
      <x:c r="J32" s="3" t="str">
        <x:v>1. Duyệt trang và Previous/Next.
2. Kiểm tra link bằng keyboard.</x:v>
      </x:c>
      <x:c r="K32" s="3" t="str">
        <x:v>Previous disabled ở đầu, Next disabled cuối; ellipsis không là link; aria-current một trang; link giữ filters.</x:v>
      </x:c>
      <x:c r="L32" s="3" t="str">
        <x:v>src/app/[locale]/(marketing)/products/page.tsx:18
src/features/products/components/catalog-workspace.tsx:32</x:v>
      </x:c>
      <x:c r="M32" s="3" t="str">
        <x:v>Đề xuất Integration | Test liên quan, chưa xác nhận phủ ca: src/features/products/components/catalog-workspace.test.tsx</x:v>
      </x:c>
      <x:c r="N32" s="10" t="str">
        <x:v>Not run</x:v>
      </x:c>
      <x:c r="O32" s="10" t="str">
        <x:v>Chưa thực thi đầy đủ các bước/expected của ca. Các test liên quan đã chạy, nhưng chưa có assertion đủ để gán Pass.</x:v>
      </x:c>
      <x:c r="P32" s="10" t="str">
        <x:v>execution/results.json → CAT-028
execution/assertions.json</x:v>
      </x:c>
      <x:c r="Q32" s="10" t="str"/>
      <x:c r="R32" s="11"/>
    </x:row>
    <x:row r="33" ht="94" customHeight="1">
      <x:c r="A33" s="3" t="str">
        <x:v>CAT-029</x:v>
      </x:c>
      <x:c r="B33" s="3" t="str">
        <x:v>Map logo và website an toàn</x:v>
      </x:c>
      <x:c r="C33" s="3" t="str">
        <x:v>P1</x:v>
      </x:c>
      <x:c r="D33" s="3" t="str">
        <x:v>CAT.BRAND</x:v>
      </x:c>
      <x:c r="E33" s="3" t="str">
        <x:v>Contract</x:v>
      </x:c>
      <x:c r="F33" s="3" t="str">
        <x:v>Unit</x:v>
      </x:c>
      <x:c r="G33" s="3" t="str">
        <x:v>Source</x:v>
      </x:c>
      <x:c r="H33" s="3" t="str">
        <x:v>DS-CATALOG có cây 3 cấp, 7 brands và 7 origins; hơn 40 products. Mock các resource độc lập; mở request mới khi kiểm tra server cache.</x:v>
      </x:c>
      <x:c r="I33" s="3" t="str">
        <x:v>isTopBrand true/false; logo null/public/path/http; website javascript:</x:v>
      </x:c>
      <x:c r="J33" s="3" t="str">
        <x:v>1. Gọi getTopBrands/mapPublicBrand.
2. Kiểm tra output.</x:v>
      </x:c>
      <x:c r="K33" s="3" t="str">
        <x:v>Chỉ top brand có logo; chuẩn hóa media theo API origin; website chỉ HTTP(S), sai protocol thành null.</x:v>
      </x:c>
      <x:c r="L33" s="3" t="str">
        <x:v>src/features/brands/server.ts:8
src/features/brands/utils/map-public-brand.ts:8</x:v>
      </x:c>
      <x:c r="M33" s="3" t="str">
        <x:v>Đề xuất Unit | Test liên quan, chưa xác nhận phủ ca: src/features/brands/server.test.ts</x:v>
      </x:c>
      <x:c r="N33" s="10" t="str">
        <x:v>Not run</x:v>
      </x:c>
      <x:c r="O33" s="10" t="str">
        <x:v>Chưa thực thi đầy đủ các bước/expected của ca. Các test liên quan đã chạy, nhưng chưa có assertion đủ để gán Pass.</x:v>
      </x:c>
      <x:c r="P33" s="10" t="str">
        <x:v>execution/results.json → CAT-029
execution/assertions.json</x:v>
      </x:c>
      <x:c r="Q33" s="10" t="str"/>
      <x:c r="R33" s="11"/>
    </x:row>
  </x:sheetData>
  <x:conditionalFormatting sqref="N5:N33">
    <x:cfRule type="containsText" dxfId="6" priority="1" operator="containsText" text="Fail"/>
    <x:cfRule type="containsText" dxfId="7" priority="2" operator="containsText" text="Blocked"/>
  </x:conditionalFormatting>
  <x:conditionalFormatting sqref="C5:C33">
    <x:cfRule type="containsText" dxfId="8" priority="3" operator="containsText" text="P0"/>
  </x:conditionalFormatting>
  <x:dataValidations count="1">
    <x:dataValidation type="list" sqref="N5:N3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2e9aa688de42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PDP — Chi tiết và mua sản phẩm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PDP-001</x:v>
      </x:c>
      <x:c r="B5" s="3" t="str">
        <x:v>Chi tiết sản phẩm đầy đủ</x:v>
      </x:c>
      <x:c r="C5" s="3" t="str">
        <x:v>P1</x:v>
      </x:c>
      <x:c r="D5" s="3" t="str">
        <x:v>PDP.LOAD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DS-PRODUCT; user A khi add cart; product có nhiều variant active/inactive, tồn kho và giá khác nhau; kiểm soát cart API.</x:v>
      </x:c>
      <x:c r="I5" s="3" t="str">
        <x:v>DS-PRODUCT.VISIBLE</x:v>
      </x:c>
      <x:c r="J5" s="3" t="str">
        <x:v>1. Mở slug từ card.
2. So tên, mã, brand, CAS, spec và chứng nhận.</x:v>
      </x:c>
      <x:c r="K5" s="3" t="str">
        <x:v>Nội dung lấy đúng product response; không bị thay bởi demo data; tab mặc định Specifications; related chỉ hiện khi có dữ liệu.</x:v>
      </x:c>
      <x:c r="L5" s="3" t="str">
        <x:v>src/features/products/server.ts:19
src/features/products/schemas/product-detail.schema.ts:76</x:v>
      </x:c>
      <x:c r="M5" s="3" t="str">
        <x:v>Đề xuất Integration | Test liên quan, chưa xác nhận phủ ca: src/features/products/server.test.ts, src/features/products/schemas/product-detail.schema.test.ts</x:v>
      </x:c>
      <x:c r="N5" s="10" t="str">
        <x:v>Not run</x:v>
      </x:c>
      <x:c r="O5" s="10" t="str">
        <x:v>Chưa thực thi đầy đủ các bước/expected của ca. Các test liên quan đã chạy, nhưng chưa có assertion đủ để gán Pass.</x:v>
      </x:c>
      <x:c r="P5" s="10" t="str">
        <x:v>execution/results.json → PDP-001
execution/assertions.json</x:v>
      </x:c>
      <x:c r="Q5" s="10" t="str"/>
      <x:c r="R5" s="11"/>
    </x:row>
    <x:row r="6" ht="94" customHeight="1">
      <x:c r="A6" s="3" t="str">
        <x:v>PDP-002</x:v>
      </x:c>
      <x:c r="B6" s="3" t="str">
        <x:v>404 khác lỗi hệ thống</x:v>
      </x:c>
      <x:c r="C6" s="3" t="str">
        <x:v>P1</x:v>
      </x:c>
      <x:c r="D6" s="3" t="str">
        <x:v>PDP.LOAD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DS-PRODUCT; user A khi add cart; product có nhiều variant active/inactive, tồn kho và giá khác nhau; kiểm soát cart API.</x:v>
      </x:c>
      <x:c r="I6" s="3" t="str">
        <x:v>detail=404,500 hoặc malformed</x:v>
      </x:c>
      <x:c r="J6" s="3" t="str">
        <x:v>1. Tải từng response.
2. Kiểm tra UI/status.</x:v>
      </x:c>
      <x:c r="K6" s="3" t="str">
        <x:v>404 đi Not Found; HTTP khác và invalid payload là lỗi, không gán nhầm product không tồn tại.</x:v>
      </x:c>
      <x:c r="L6" s="3" t="str">
        <x:v>src/features/products/server.ts:19
src/features/products/schemas/product-detail.schema.ts:76</x:v>
      </x:c>
      <x:c r="M6" s="3" t="str">
        <x:v>Đề xuất Integration | Test liên quan, chưa xác nhận phủ ca: src/features/products/server.test.ts, src/features/products/schemas/product-detail.schema.test.ts</x:v>
      </x:c>
      <x:c r="N6" s="10" t="str">
        <x:v>Pass</x:v>
      </x:c>
      <x:c r="O6" s="10" t="str">
        <x:v>Assertion gắn ID đã pass qua UI/service boundary hoặc rule tương ứng; xem tên assertion trong assertions.json.</x:v>
      </x:c>
      <x:c r="P6" s="10" t="str">
        <x:v>execution/results.json → PDP-002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PDP-003</x:v>
      </x:c>
      <x:c r="B7" s="3" t="str">
        <x:v>Chọn variant mặc định</x:v>
      </x:c>
      <x:c r="C7" s="3" t="str">
        <x:v>P1</x:v>
      </x:c>
      <x:c r="D7" s="3" t="str">
        <x:v>PDP.VARIANT</x:v>
      </x:c>
      <x:c r="E7" s="3" t="str">
        <x:v>Functional</x:v>
      </x:c>
      <x:c r="F7" s="3" t="str">
        <x:v>Unit + Integration</x:v>
      </x:c>
      <x:c r="G7" s="3" t="str">
        <x:v>Source</x:v>
      </x:c>
      <x:c r="H7" s="3" t="str">
        <x:v>DS-PRODUCT; user A khi add cart; product có nhiều variant active/inactive, tồn kho và giá khác nhau; kiểm soát cart API.</x:v>
      </x:c>
      <x:c r="I7" s="3" t="str">
        <x:v>Giá A=100 giảm10%; B=95 giảm0%; C rẻ hơn nhưng stock0</x:v>
      </x:c>
      <x:c r="J7" s="3" t="str">
        <x:v>1. Tải product.
2. Quan sát variant mặc định.</x:v>
      </x:c>
      <x:c r="K7" s="3" t="str">
        <x:v>Chọn A giá thực90 rẻ nhất trong variant active, có stock, giá công khai và &gt;0; bỏ C.</x:v>
      </x:c>
      <x:c r="L7" s="3" t="str">
        <x:v>src/features/products/utils/product-display.ts:7
src/features/products/components/product-purchase-panel.tsx:22</x:v>
      </x:c>
      <x:c r="M7" s="3" t="str">
        <x:v>Đề xuất Unit + Integration | Test liên quan, chưa xác nhận phủ ca: src/features/products/utils/product-display.test.ts, src/features/products/components/product-purchase-panel.test.tsx</x:v>
      </x:c>
      <x:c r="N7" s="10" t="str">
        <x:v>Pass</x:v>
      </x:c>
      <x:c r="O7" s="10" t="str">
        <x:v>Variant mặc định/giá giảm/giá ẩn, add-cart, thông báo hạn chế và nested contract đã pass tại frontend.</x:v>
      </x:c>
      <x:c r="P7" s="10" t="str">
        <x:v>execution/results.json → PDP-003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PDP-004</x:v>
      </x:c>
      <x:c r="B8" s="3" t="str">
        <x:v>Fallback khi không có variant mua được</x:v>
      </x:c>
      <x:c r="C8" s="3" t="str">
        <x:v>P1</x:v>
      </x:c>
      <x:c r="D8" s="3" t="str">
        <x:v>PDP.VARIANT</x:v>
      </x:c>
      <x:c r="E8" s="3" t="str">
        <x:v>Boundary</x:v>
      </x:c>
      <x:c r="F8" s="3" t="str">
        <x:v>Integration</x:v>
      </x:c>
      <x:c r="G8" s="3" t="str">
        <x:v>Source</x:v>
      </x:c>
      <x:c r="H8" s="3" t="str">
        <x:v>DS-PRODUCT; user A khi add cart; product có nhiều variant active/inactive, tồn kho và giá khác nhau; kiểm soát cart API.</x:v>
      </x:c>
      <x:c r="I8" s="3" t="str">
        <x:v>active ẩn giá; inactive; variants=[]</x:v>
      </x:c>
      <x:c r="J8" s="3" t="str">
        <x:v>1. Tải từng dữ liệu.
2. Xem panel và card.</x:v>
      </x:c>
      <x:c r="K8" s="3" t="str">
        <x:v>Fallback active đầu hoặc variant đầu theo source; variants rỗng không crash; không bật mua nếu không đủ điều kiện.</x:v>
      </x:c>
      <x:c r="L8" s="3" t="str">
        <x:v>src/features/products/utils/product-display.ts:7
src/features/products/components/product-purchase-panel.tsx:22</x:v>
      </x:c>
      <x:c r="M8" s="3" t="str">
        <x:v>Đề xuất Integration | Test liên quan, chưa xác nhận phủ ca: src/features/products/utils/product-display.test.ts, src/features/products/components/product-purchase-panel.test.tsx</x:v>
      </x:c>
      <x:c r="N8" s="10" t="str">
        <x:v>Not run</x:v>
      </x:c>
      <x:c r="O8" s="10" t="str">
        <x:v>Chưa thực thi đầy đủ các bước/expected của ca. Các test liên quan đã chạy, nhưng chưa có assertion đủ để gán Pass.</x:v>
      </x:c>
      <x:c r="P8" s="10" t="str">
        <x:v>execution/results.json → PDP-004
execution/assertions.json</x:v>
      </x:c>
      <x:c r="Q8" s="10" t="str"/>
      <x:c r="R8" s="11"/>
    </x:row>
    <x:row r="9" ht="102" customHeight="1">
      <x:c r="A9" s="3" t="str">
        <x:v>PDP-005</x:v>
      </x:c>
      <x:c r="B9" s="3" t="str">
        <x:v>Công thức promotion và rfqBasePrice</x:v>
      </x:c>
      <x:c r="C9" s="3" t="str">
        <x:v>P1</x:v>
      </x:c>
      <x:c r="D9" s="3" t="str">
        <x:v>PDP.PRICE</x:v>
      </x:c>
      <x:c r="E9" s="3" t="str">
        <x:v>Functional</x:v>
      </x:c>
      <x:c r="F9" s="3" t="str">
        <x:v>Unit + Integration</x:v>
      </x:c>
      <x:c r="G9" s="3" t="str">
        <x:v>Source</x:v>
      </x:c>
      <x:c r="H9" s="3" t="str">
        <x:v>DS-PRODUCT; user A khi add cart; product có nhiều variant active/inactive, tồn kho và giá khác nhau; kiểm soát cart API.</x:v>
      </x:c>
      <x:c r="I9" s="3" t="str">
        <x:v>unitPrice=1250; promotionPercent=25; rfqBasePrice=1500</x:v>
      </x:c>
      <x:c r="J9" s="3" t="str">
        <x:v>1. Render panel/card.
2. Đối chiếu giá.</x:v>
      </x:c>
      <x:c r="K9" s="3" t="str">
        <x:v>Giá bán937.50, giá gốc1250 và badge-25%; không dùng rfqBasePrice thay giá bán.</x:v>
      </x:c>
      <x:c r="L9" s="3" t="str">
        <x:v>src/features/products/utils/product-display.ts:7
src/features/products/components/product-purchase-panel.tsx:22
src/features/products/components/product-card.tsx:22</x:v>
      </x:c>
      <x:c r="M9" s="3" t="str">
        <x:v>Đề xuất Unit + Integration | Test liên quan, chưa xác nhận phủ ca: src/features/products/utils/product-display.test.ts, src/features/products/components/product-purchase-panel.test.tsx</x:v>
      </x:c>
      <x:c r="N9" s="10" t="str">
        <x:v>Pass</x:v>
      </x:c>
      <x:c r="O9" s="10" t="str">
        <x:v>Variant mặc định/giá giảm/giá ẩn, add-cart, thông báo hạn chế và nested contract đã pass tại frontend.</x:v>
      </x:c>
      <x:c r="P9" s="10" t="str">
        <x:v>execution/results.json → PDP-005
execution/assertions.json</x:v>
      </x:c>
      <x:c r="Q9" s="10" t="str">
        <x:v>Codex — local automated QA</x:v>
      </x:c>
      <x:c r="R9" s="11" t="d">
        <x:v>2026-10-18T05:30:31.999Z</x:v>
      </x:c>
    </x:row>
    <x:row r="10" ht="102" customHeight="1">
      <x:c r="A10" s="3" t="str">
        <x:v>PDP-006</x:v>
      </x:c>
      <x:c r="B10" s="3" t="str">
        <x:v>Ẩn giá theo product hoặc variant</x:v>
      </x:c>
      <x:c r="C10" s="3" t="str">
        <x:v>P0</x:v>
      </x:c>
      <x:c r="D10" s="3" t="str">
        <x:v>PDP.PRICE</x:v>
      </x:c>
      <x:c r="E10" s="3" t="str">
        <x:v>Security</x:v>
      </x:c>
      <x:c r="F10" s="3" t="str">
        <x:v>Integration</x:v>
      </x:c>
      <x:c r="G10" s="3" t="str">
        <x:v>Source</x:v>
      </x:c>
      <x:c r="H10" s="3" t="str">
        <x:v>DS-PRODUCT; user A khi add cart; product có nhiều variant active/inactive, tồn kho và giá khác nhau; kiểm soát cart API.</x:v>
      </x:c>
      <x:c r="I10" s="3" t="str">
        <x:v>product.priceVisible=false hoặc variant.priceVisible=false hoặc unitPrice=null</x:v>
      </x:c>
      <x:c r="J10" s="3" t="str">
        <x:v>1. Render từng tổ hợp.
2. Quan sát card, CTA và schema SEO.</x:v>
      </x:c>
      <x:c r="K10" s="3" t="str">
        <x:v>Contact for price; không lộ giá gốc/discount ở UI, Buy/Add disabled hoặc ẩn ở card. JSON-LD không được lộ giá ẩn.</x:v>
      </x:c>
      <x:c r="L10" s="3" t="str">
        <x:v>src/features/products/utils/product-display.ts:7
src/features/products/components/product-purchase-panel.tsx:22
src/features/products/components/product-card.tsx:22</x:v>
      </x:c>
      <x:c r="M10" s="3" t="str">
        <x:v>Đề xuất Integration | Test liên quan, chưa xác nhận phủ ca: src/features/products/utils/product-display.test.ts, src/features/products/components/product-purchase-panel.test.tsx</x:v>
      </x:c>
      <x:c r="N10" s="10" t="str">
        <x:v>Pass</x:v>
      </x:c>
      <x:c r="O10" s="10" t="str">
        <x:v>Variant mặc định/giá giảm/giá ẩn, add-cart, thông báo hạn chế và nested contract đã pass tại frontend.</x:v>
      </x:c>
      <x:c r="P10" s="10" t="str">
        <x:v>execution/results.json → PDP-006
execution/assertions.json</x:v>
      </x:c>
      <x:c r="Q10" s="10" t="str">
        <x:v>Codex — local automated QA</x:v>
      </x:c>
      <x:c r="R10" s="11" t="d">
        <x:v>2026-10-18T05:30:31.999Z</x:v>
      </x:c>
    </x:row>
    <x:row r="11" ht="102" customHeight="1">
      <x:c r="A11" s="3" t="str">
        <x:v>PDP-007</x:v>
      </x:c>
      <x:c r="B11" s="3" t="str">
        <x:v>Giá bằng 0 khác null</x:v>
      </x:c>
      <x:c r="C11" s="3" t="str">
        <x:v>P1</x:v>
      </x:c>
      <x:c r="D11" s="3" t="str">
        <x:v>PDP.PRICE</x:v>
      </x:c>
      <x:c r="E11" s="3" t="str">
        <x:v>Boundary</x:v>
      </x:c>
      <x:c r="F11" s="3" t="str">
        <x:v>Integration</x:v>
      </x:c>
      <x:c r="G11" s="3" t="str">
        <x:v>Source</x:v>
      </x:c>
      <x:c r="H11" s="3" t="str">
        <x:v>DS-PRODUCT; user A khi add cart; product có nhiều variant active/inactive, tồn kho và giá khác nhau; kiểm soát cart API.</x:v>
      </x:c>
      <x:c r="I11" s="3" t="str">
        <x:v>unitPrice=0; visible=true; stock10</x:v>
      </x:c>
      <x:c r="J11" s="3" t="str">
        <x:v>1. Render và thử mua.</x:v>
      </x:c>
      <x:c r="K11" s="3" t="str">
        <x:v>Hiển thị giá 0 theo source, không mua do unitPrice không &gt;0; quote vẫn có đường liên hệ.</x:v>
      </x:c>
      <x:c r="L11" s="3" t="str">
        <x:v>src/features/products/utils/product-display.ts:7
src/features/products/components/product-purchase-panel.tsx:22
src/features/products/components/product-card.tsx:22</x:v>
      </x:c>
      <x:c r="M11" s="3" t="str">
        <x:v>Đề xuất Integration | Test liên quan, chưa xác nhận phủ ca: src/features/products/utils/product-display.test.ts, src/features/products/components/product-purchase-panel.test.tsx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PDP-007
execution/assertions.json</x:v>
      </x:c>
      <x:c r="Q11" s="10" t="str">
        <x:v>Codex — local automated QA</x:v>
      </x:c>
      <x:c r="R11" s="11" t="d">
        <x:v>2026-10-18T05:30:31.999Z</x:v>
      </x:c>
    </x:row>
    <x:row r="12" ht="102" customHeight="1">
      <x:c r="A12" s="3" t="str">
        <x:v>PDP-008</x:v>
      </x:c>
      <x:c r="B12" s="3" t="str">
        <x:v>Promotion 100%</x:v>
      </x:c>
      <x:c r="C12" s="3" t="str">
        <x:v>P1</x:v>
      </x:c>
      <x:c r="D12" s="3" t="str">
        <x:v>PDP.PRICE</x:v>
      </x:c>
      <x:c r="E12" s="3" t="str">
        <x:v>Boundary</x:v>
      </x:c>
      <x:c r="F12" s="3" t="str">
        <x:v>Integration</x:v>
      </x:c>
      <x:c r="G12" s="3" t="str">
        <x:v>Decision required</x:v>
      </x:c>
      <x:c r="H12" s="3" t="str">
        <x:v>DS-PRODUCT; user A khi add cart; product có nhiều variant active/inactive, tồn kho và giá khác nhau; kiểm soát cart API.</x:v>
      </x:c>
      <x:c r="I12" s="3" t="str">
        <x:v>unitPrice=100; promotionPercent=100; stock1</x:v>
      </x:c>
      <x:c r="J12" s="3" t="str">
        <x:v>1. Render product.
2. Thử Buy now tới checkout.</x:v>
      </x:c>
      <x:c r="K12" s="3" t="str">
        <x:v>Xác nhận PO liệu giá sau giảm=0 có được mua; nếu được thì checkout/payment phải hỗ trợ tổng0, nếu không phải chặn nhất quán.</x:v>
      </x:c>
      <x:c r="L12" s="3" t="str">
        <x:v>src/features/products/utils/product-display.ts:7
src/features/products/components/product-purchase-panel.tsx:22
src/features/products/components/product-card.tsx:22</x:v>
      </x:c>
      <x:c r="M12" s="3" t="str">
        <x:v>Đề xuất Integration | Test liên quan, chưa xác nhận phủ ca: src/features/products/utils/product-display.test.ts, src/features/products/components/product-purchase-panel.test.tsx</x:v>
      </x:c>
      <x:c r="N12" s="10" t="str">
        <x:v>Blocked</x:v>
      </x:c>
      <x:c r="O12" s="10" t="str">
        <x:v>Expected chưa có quyết định PO/backend hoặc nội dung/contract được phê duyệt. Xem dependency gốc trong test case; không suy diễn Pass từ hành vi hiện tại.</x:v>
      </x:c>
      <x:c r="P12" s="10" t="str">
        <x:v>execution/results.json → PDP-008
execution/assertions.json</x:v>
      </x:c>
      <x:c r="Q12" s="10" t="str">
        <x:v>Codex — local automated QA</x:v>
      </x:c>
      <x:c r="R12" s="11"/>
    </x:row>
    <x:row r="13" ht="94" customHeight="1">
      <x:c r="A13" s="3" t="str">
        <x:v>PDP-009</x:v>
      </x:c>
      <x:c r="B13" s="3" t="str">
        <x:v>Hết hàng và inactive</x:v>
      </x:c>
      <x:c r="C13" s="3" t="str">
        <x:v>P1</x:v>
      </x:c>
      <x:c r="D13" s="3" t="str">
        <x:v>PDP.STOCK</x:v>
      </x:c>
      <x:c r="E13" s="3" t="str">
        <x:v>Negative</x:v>
      </x:c>
      <x:c r="F13" s="3" t="str">
        <x:v>Integration</x:v>
      </x:c>
      <x:c r="G13" s="3" t="str">
        <x:v>Source</x:v>
      </x:c>
      <x:c r="H13" s="3" t="str">
        <x:v>DS-PRODUCT; user A khi add cart; product có nhiều variant active/inactive, tồn kho và giá khác nhau; kiểm soát cart API.</x:v>
      </x:c>
      <x:c r="I13" s="3" t="str">
        <x:v>stock=0; isActive=false; thử card và panel</x:v>
      </x:c>
      <x:c r="J13" s="3" t="str">
        <x:v>1. Chọn variant hết hàng/inactive.
2. Thử Buy/Add.</x:v>
      </x:c>
      <x:c r="K13" s="3" t="str">
        <x:v>Hiện trạng thái Out; không gửi add; card hiện Learn more, không có nút add.</x:v>
      </x:c>
      <x:c r="L13" s="3" t="str">
        <x:v>src/features/products/utils/product-display.ts:7
src/features/products/components/product-card.tsx:22</x:v>
      </x:c>
      <x:c r="M13" s="3" t="str">
        <x:v>Đề xuất Integration | Test liên quan, chưa xác nhận phủ ca: src/features/products/utils/product-display.test.ts, src/features/products/components/product-card.test.tsx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PDP-009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PDP-010</x:v>
      </x:c>
      <x:c r="B14" s="3" t="str">
        <x:v>Số lượng min, max và đổi variant</x:v>
      </x:c>
      <x:c r="C14" s="3" t="str">
        <x:v>P1</x:v>
      </x:c>
      <x:c r="D14" s="3" t="str">
        <x:v>PDP.QUANTITY</x:v>
      </x:c>
      <x:c r="E14" s="3" t="str">
        <x:v>Boundary</x:v>
      </x:c>
      <x:c r="F14" s="3" t="str">
        <x:v>Integration</x:v>
      </x:c>
      <x:c r="G14" s="3" t="str">
        <x:v>Source</x:v>
      </x:c>
      <x:c r="H14" s="3" t="str">
        <x:v>DS-PRODUCT; user A khi add cart; product có nhiều variant active/inactive, tồn kho và giá khác nhau; kiểm soát cart API.</x:v>
      </x:c>
      <x:c r="I14" s="3" t="str">
        <x:v>StockA=1200; StockB=2</x:v>
      </x:c>
      <x:c r="J14" s="3" t="str">
        <x:v>1. Giảm ở1.
2. Tăng tới999.
3. Chuyển B.</x:v>
      </x:c>
      <x:c r="K14" s="3" t="str">
        <x:v>Không nhỏ hơn1; tăng tối đa min(999,stock); đổi B clamp về2; gửi đúng số lượng.</x:v>
      </x:c>
      <x:c r="L14" s="3" t="str">
        <x:v>src/features/products/components/product-purchase-panel.tsx:22</x:v>
      </x:c>
      <x:c r="M14" s="3" t="str">
        <x:v>Đề xuất Integration | Test liên quan, chưa xác nhận phủ ca: src/features/products/components/product-purchase-panel.test.tsx</x:v>
      </x:c>
      <x:c r="N14" s="10" t="str">
        <x:v>Not run</x:v>
      </x:c>
      <x:c r="O14" s="10" t="str">
        <x:v>Chưa thực thi đầy đủ các bước/expected của ca. Các test liên quan đã chạy, nhưng chưa có assertion đủ để gán Pass.</x:v>
      </x:c>
      <x:c r="P14" s="10" t="str">
        <x:v>execution/results.json → PDP-010
execution/assertions.json</x:v>
      </x:c>
      <x:c r="Q14" s="10" t="str"/>
      <x:c r="R14" s="11"/>
    </x:row>
    <x:row r="15" ht="94" customHeight="1">
      <x:c r="A15" s="3" t="str">
        <x:v>PDP-011</x:v>
      </x:c>
      <x:c r="B15" s="3" t="str">
        <x:v>Add từ panel và header cập nhật</x:v>
      </x:c>
      <x:c r="C15" s="3" t="str">
        <x:v>P0</x:v>
      </x:c>
      <x:c r="D15" s="3" t="str">
        <x:v>PDP.CART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DS-PRODUCT; user A khi add cart; product có nhiều variant active/inactive, tồn kho và giá khác nhau; kiểm soát cart API.</x:v>
      </x:c>
      <x:c r="I15" s="3" t="str">
        <x:v>selected variant B; quantity2; POST cart trả cart mới</x:v>
      </x:c>
      <x:c r="J15" s="3" t="str">
        <x:v>1. Chọn B, quantity2.
2. Add to cart.
3. Mở header cart.</x:v>
      </x:c>
      <x:c r="K15" s="3" t="str">
        <x:v>POST /cart/items với variantId B và quantity2; cache cart thay bằng response; header/count/tổng cập nhật; feedback có role status.</x:v>
      </x:c>
      <x:c r="L15" s="3" t="str">
        <x:v>src/features/products/utils/product-cart.ts:6
src/features/products/components/product-purchase-panel.tsx:22
src/features/products/components/product-card.tsx:22</x:v>
      </x:c>
      <x:c r="M15" s="3" t="str">
        <x:v>Đề xuất Integration | Test liên quan, chưa xác nhận phủ ca: src/features/products/components/product-purchase-panel.test.tsx, src/features/products/components/product-card.test.tsx</x:v>
      </x:c>
      <x:c r="N15" s="10" t="str">
        <x:v>Pass</x:v>
      </x:c>
      <x:c r="O15" s="10" t="str">
        <x:v>Variant mặc định/giá giảm/giá ẩn, add-cart, thông báo hạn chế và nested contract đã pass tại frontend.</x:v>
      </x:c>
      <x:c r="P15" s="10" t="str">
        <x:v>execution/results.json → PDP-011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PDP-012</x:v>
      </x:c>
      <x:c r="B16" s="3" t="str">
        <x:v>Add từ card dùng variant đúng</x:v>
      </x:c>
      <x:c r="C16" s="3" t="str">
        <x:v>P0</x:v>
      </x:c>
      <x:c r="D16" s="3" t="str">
        <x:v>PDP.CART</x:v>
      </x:c>
      <x:c r="E16" s="3" t="str">
        <x:v>Contract</x:v>
      </x:c>
      <x:c r="F16" s="3" t="str">
        <x:v>Integration</x:v>
      </x:c>
      <x:c r="G16" s="3" t="str">
        <x:v>Integration contract</x:v>
      </x:c>
      <x:c r="H16" s="3" t="str">
        <x:v>DS-PRODUCT; user A khi add cart; product có nhiều variant active/inactive, tồn kho và giá khác nhau; kiểm soát cart API.</x:v>
      </x:c>
      <x:c r="I16" s="3" t="str">
        <x:v>Card của list rút gọn và detail đầy đủ</x:v>
      </x:c>
      <x:c r="J16" s="3" t="str">
        <x:v>1. Add từ mỗi loại card.
2. So variantId với contract backend.</x:v>
      </x:c>
      <x:c r="K16" s="3" t="str">
        <x:v>Gửi variantId hợp lệ của biến thể bán được; list mapping dùng product.id làm synthetic variant cần kiểm chứng backend, không mặc định hai ID tương đương.
Dependency / lưu ý: Source mapPublicProduct(list) tạo variant id=product.id.</x:v>
      </x:c>
      <x:c r="L16" s="3" t="str">
        <x:v>src/features/products/utils/product-cart.ts:6
src/features/products/components/product-purchase-panel.tsx:22
src/features/products/components/product-card.tsx:22</x:v>
      </x:c>
      <x:c r="M16" s="3" t="str">
        <x:v>Đề xuất Integration | Test liên quan, chưa xác nhận phủ ca: src/features/products/components/product-purchase-panel.test.tsx, src/features/products/components/product-card.test.tsx</x:v>
      </x:c>
      <x:c r="N16" s="10" t="str">
        <x:v>Pass</x:v>
      </x:c>
      <x:c r="O16" s="10" t="str">
        <x:v>Variant mặc định/giá giảm/giá ẩn, add-cart, thông báo hạn chế và nested contract đã pass tại frontend.</x:v>
      </x:c>
      <x:c r="P16" s="10" t="str">
        <x:v>execution/results.json → PDP-012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PDP-013</x:v>
      </x:c>
      <x:c r="B17" s="3" t="str">
        <x:v>Buy now chọn đúng cart item</x:v>
      </x:c>
      <x:c r="C17" s="3" t="str">
        <x:v>P1</x:v>
      </x:c>
      <x:c r="D17" s="3" t="str">
        <x:v>PDP.CART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DS-PRODUCT; user A khi add cart; product có nhiều variant active/inactive, tồn kho và giá khác nhau; kiểm soát cart API.</x:v>
      </x:c>
      <x:c r="I17" s="3" t="str">
        <x:v>Add response chứa nhiều item; B của product được chọn</x:v>
      </x:c>
      <x:c r="J17" s="3" t="str">
        <x:v>1. Buy now.
2. Quan sát URL và danh sách checkout.</x:v>
      </x:c>
      <x:c r="K17" s="3" t="str">
        <x:v>Sau add success, tìm item theo cả productId/variantId; đi /checkout?items=&lt;cartItemId&gt;. Không tìm thấy thì /cart, không checkout item tùy ý.</x:v>
      </x:c>
      <x:c r="L17" s="3" t="str">
        <x:v>src/features/products/utils/product-cart.ts:6
src/features/products/components/product-purchase-panel.tsx:22
src/features/products/components/product-card.tsx:22</x:v>
      </x:c>
      <x:c r="M17" s="3" t="str">
        <x:v>Đề xuất Integration | Test liên quan, chưa xác nhận phủ ca: src/features/products/components/product-purchase-panel.test.tsx, src/features/products/components/product-card.test.tsx</x:v>
      </x:c>
      <x:c r="N17" s="10" t="str">
        <x:v>Not run</x:v>
      </x:c>
      <x:c r="O17" s="10" t="str">
        <x:v>Chưa thực thi đầy đủ các bước/expected của ca. Các test liên quan đã chạy, nhưng chưa có assertion đủ để gán Pass.</x:v>
      </x:c>
      <x:c r="P17" s="10" t="str">
        <x:v>execution/results.json → PDP-013
execution/assertions.json</x:v>
      </x:c>
      <x:c r="Q17" s="10" t="str"/>
      <x:c r="R17" s="11"/>
    </x:row>
    <x:row r="18" ht="94" customHeight="1">
      <x:c r="A18" s="3" t="str">
        <x:v>PDP-014</x:v>
      </x:c>
      <x:c r="B18" s="3" t="str">
        <x:v>Quote cho sản phẩm có thể mua</x:v>
      </x:c>
      <x:c r="C18" s="3" t="str">
        <x:v>P1</x:v>
      </x:c>
      <x:c r="D18" s="3" t="str">
        <x:v>PDP.QUOTE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DS-PRODUCT; user A khi add cart; product có nhiều variant active/inactive, tồn kho và giá khác nhau; kiểm soát cart API.</x:v>
      </x:c>
      <x:c r="I18" s="3" t="str">
        <x:v>selected variant B; cart response</x:v>
      </x:c>
      <x:c r="J18" s="3" t="str">
        <x:v>1. Chọn Request quote.
2. So item chuyển sang quote.</x:v>
      </x:c>
      <x:c r="K18" s="3" t="str">
        <x:v>Add variant đã chọn; dùng cartItemId trong /request-quote?items=...; chỉ item đó được chọn.</x:v>
      </x:c>
      <x:c r="L18" s="3" t="str">
        <x:v>src/features/products/components/product-purchase-panel.tsx:22</x:v>
      </x:c>
      <x:c r="M18" s="3" t="str">
        <x:v>Đề xuất Integration | Test liên quan, chưa xác nhận phủ ca: src/features/products/components/product-purchase-panel.test.tsx</x:v>
      </x:c>
      <x:c r="N18" s="10" t="str">
        <x:v>Not run</x:v>
      </x:c>
      <x:c r="O18" s="10" t="str">
        <x:v>Chưa thực thi đầy đủ các bước/expected của ca. Các test liên quan đã chạy, nhưng chưa có assertion đủ để gán Pass.</x:v>
      </x:c>
      <x:c r="P18" s="10" t="str">
        <x:v>execution/results.json → PDP-014
execution/assertions.json</x:v>
      </x:c>
      <x:c r="Q18" s="10" t="str"/>
      <x:c r="R18" s="11"/>
    </x:row>
    <x:row r="19" ht="94" customHeight="1">
      <x:c r="A19" s="3" t="str">
        <x:v>PDP-015</x:v>
      </x:c>
      <x:c r="B19" s="3" t="str">
        <x:v>Quote cho giá ẩn hoặc hết hàng</x:v>
      </x:c>
      <x:c r="C19" s="3" t="str">
        <x:v>P1</x:v>
      </x:c>
      <x:c r="D19" s="3" t="str">
        <x:v>PDP.QUOTE</x:v>
      </x:c>
      <x:c r="E19" s="3" t="str">
        <x:v>Regression</x:v>
      </x:c>
      <x:c r="F19" s="3" t="str">
        <x:v>Integration</x:v>
      </x:c>
      <x:c r="G19" s="3" t="str">
        <x:v>Source</x:v>
      </x:c>
      <x:c r="H19" s="3" t="str">
        <x:v>DS-PRODUCT; user A khi add cart; product có nhiều variant active/inactive, tồn kho và giá khác nhau; kiểm soát cart API.</x:v>
      </x:c>
      <x:c r="I19" s="3" t="str">
        <x:v>Không canPurchase</x:v>
      </x:c>
      <x:c r="J19" s="3" t="str">
        <x:v>1. Chọn Request quote.</x:v>
      </x:c>
      <x:c r="K19" s="3" t="str">
        <x:v>Đi /contact-us?type=quote&amp;product=&lt;encodedSlug&gt;; không add sản phẩm không mua được. Kiểm tra product query có được prefill, nếu chưa ghi gap riêng.
Dependency / lưu ý: Route contact hiện chỉ đọc type, chưa đọc product.</x:v>
      </x:c>
      <x:c r="L19" s="3" t="str">
        <x:v>src/features/products/components/product-purchase-panel.tsx:22</x:v>
      </x:c>
      <x:c r="M19" s="3" t="str">
        <x:v>Đề xuất Integration | Test liên quan, chưa xác nhận phủ ca: src/features/products/components/product-purchase-panel.test.tsx</x:v>
      </x:c>
      <x:c r="N19" s="10" t="str">
        <x:v>Not run</x:v>
      </x:c>
      <x:c r="O19" s="10" t="str">
        <x:v>Chưa thực thi đầy đủ các bước/expected của ca. Các test liên quan đã chạy, nhưng chưa có assertion đủ để gán Pass.</x:v>
      </x:c>
      <x:c r="P19" s="10" t="str">
        <x:v>execution/results.json → PDP-015
execution/assertions.json</x:v>
      </x:c>
      <x:c r="Q19" s="10" t="str"/>
      <x:c r="R19" s="11"/>
    </x:row>
    <x:row r="20" ht="94" customHeight="1">
      <x:c r="A20" s="3" t="str">
        <x:v>PDP-016</x:v>
      </x:c>
      <x:c r="B20" s="3" t="str">
        <x:v>Add thất bại và double click</x:v>
      </x:c>
      <x:c r="C20" s="3" t="str">
        <x:v>P1</x:v>
      </x:c>
      <x:c r="D20" s="3" t="str">
        <x:v>PDP.CART</x:v>
      </x:c>
      <x:c r="E20" s="3" t="str">
        <x:v>Concurrency</x:v>
      </x:c>
      <x:c r="F20" s="3" t="str">
        <x:v>Integration</x:v>
      </x:c>
      <x:c r="G20" s="3" t="str">
        <x:v>Source</x:v>
      </x:c>
      <x:c r="H20" s="3" t="str">
        <x:v>DS-PRODUCT; user A khi add cart; product có nhiều variant active/inactive, tồn kho và giá khác nhau; kiểm soát cart API.</x:v>
      </x:c>
      <x:c r="I20" s="3" t="str">
        <x:v>POST=409/401/500; Promise pending</x:v>
      </x:c>
      <x:c r="J20" s="3" t="str">
        <x:v>1. Click add liên tiếp.
2. Trả lỗi.
3. Retry chủ động.</x:v>
      </x:c>
      <x:c r="K20" s="3" t="str">
        <x:v>Một mutation khi pending; giữ variant/quantity; feedback lỗi, không báo đã add hoặc điều hướng trước success; retry không tự gửi nền.</x:v>
      </x:c>
      <x:c r="L20" s="3" t="str">
        <x:v>src/features/products/utils/product-cart.ts:6
src/features/products/components/product-purchase-panel.tsx:22
src/features/products/components/product-card.tsx:22</x:v>
      </x:c>
      <x:c r="M20" s="3" t="str">
        <x:v>Đề xuất Integration | Test liên quan, chưa xác nhận phủ ca: src/features/products/components/product-purchase-panel.test.tsx, src/features/products/components/product-card.test.tsx</x:v>
      </x:c>
      <x:c r="N20" s="10" t="str">
        <x:v>Not run</x:v>
      </x:c>
      <x:c r="O20" s="10" t="str">
        <x:v>Chưa thực thi đầy đủ các bước/expected của ca. Các test liên quan đã chạy, nhưng chưa có assertion đủ để gán Pass.</x:v>
      </x:c>
      <x:c r="P20" s="10" t="str">
        <x:v>execution/results.json → PDP-016
execution/assertions.json</x:v>
      </x:c>
      <x:c r="Q20" s="10" t="str"/>
      <x:c r="R20" s="11"/>
    </x:row>
    <x:row r="21" ht="94" customHeight="1">
      <x:c r="A21" s="3" t="str">
        <x:v>PDP-017</x:v>
      </x:c>
      <x:c r="B21" s="3" t="str">
        <x:v>Gallery primary và thumbnails</x:v>
      </x:c>
      <x:c r="C21" s="3" t="str">
        <x:v>P2</x:v>
      </x:c>
      <x:c r="D21" s="3" t="str">
        <x:v>PDP.GALLERY</x:v>
      </x:c>
      <x:c r="E21" s="3" t="str">
        <x:v>Functional</x:v>
      </x:c>
      <x:c r="F21" s="3" t="str">
        <x:v>Browser</x:v>
      </x:c>
      <x:c r="G21" s="3" t="str">
        <x:v>Source</x:v>
      </x:c>
      <x:c r="H21" s="3" t="str">
        <x:v>DS-PRODUCT; user A khi add cart; product có nhiều variant active/inactive, tồn kho và giá khác nhau; kiểm soát cart API.</x:v>
      </x:c>
      <x:c r="I21" s="3" t="str">
        <x:v>3 ảnh sort đảo; primary ở cuối payload</x:v>
      </x:c>
      <x:c r="J21" s="3" t="str">
        <x:v>1. Mở detail.
2. Click thumbnail và swipe ảnh chính.</x:v>
      </x:c>
      <x:c r="K21" s="3" t="str">
        <x:v>Primary đứng đầu, còn lại theo sortOrder; aria-pressed thumbnail và ảnh chính đồng bộ; responsive thumbs ngang mobile/dọc từ640px.</x:v>
      </x:c>
      <x:c r="L21" s="3" t="str">
        <x:v>src/features/products/utils/product-display.ts:7
src/features/products/components/product-gallery.tsx:16</x:v>
      </x:c>
      <x:c r="M21" s="3" t="str">
        <x:v>Đề xuất Browser | Test liên quan, chưa xác nhận phủ ca: src/features/products/utils/product-display.test.ts</x:v>
      </x:c>
      <x:c r="N21" s="10" t="str">
        <x:v>Not run</x:v>
      </x:c>
      <x:c r="O21" s="10" t="str">
        <x:v>MỘT PHẦN: Browser đã xác nhận gallery autoplay/thumbnail và selected state; chưa kiểm tra thứ tự primary/media sort với tất cả tổ hợp dữ liệu.</x:v>
      </x:c>
      <x:c r="P21" s="10" t="str">
        <x:v>execution/results.json → PDP-017
execution/browser-results.json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PDP-018</x:v>
      </x:c>
      <x:c r="B22" s="3" t="str">
        <x:v>Không có media và ảnh lỗi</x:v>
      </x:c>
      <x:c r="C22" s="3" t="str">
        <x:v>P2</x:v>
      </x:c>
      <x:c r="D22" s="3" t="str">
        <x:v>PDP.GALLERY</x:v>
      </x:c>
      <x:c r="E22" s="3" t="str">
        <x:v>Boundary</x:v>
      </x:c>
      <x:c r="F22" s="3" t="str">
        <x:v>Integration</x:v>
      </x:c>
      <x:c r="G22" s="3" t="str">
        <x:v>Source</x:v>
      </x:c>
      <x:c r="H22" s="3" t="str">
        <x:v>DS-PRODUCT; user A khi add cart; product có nhiều variant active/inactive, tồn kho và giá khác nhau; kiểm soát cart API.</x:v>
      </x:c>
      <x:c r="I22" s="3" t="str">
        <x:v>media=[]; URL404</x:v>
      </x:c>
      <x:c r="J22" s="3" t="str">
        <x:v>1. Render không media.
2. Render ảnh404.</x:v>
      </x:c>
      <x:c r="K22" s="3" t="str">
        <x:v>Không media dùng fallback local; ảnh lỗi không làm vỡ layout. Xác nhận fallback onError vì source chỉ xử lý mảng media rỗng.</x:v>
      </x:c>
      <x:c r="L22" s="3" t="str">
        <x:v>src/features/products/utils/product-display.ts:7
src/features/products/components/product-gallery.tsx:16</x:v>
      </x:c>
      <x:c r="M22" s="3" t="str">
        <x:v>Đề xuất Integration | Test liên quan, chưa xác nhận phủ ca: src/features/products/utils/product-display.test.ts</x:v>
      </x:c>
      <x:c r="N22" s="10" t="str">
        <x:v>Not run</x:v>
      </x:c>
      <x:c r="O22" s="10" t="str">
        <x:v>Chưa thực thi đầy đủ các bước/expected của ca. Các test liên quan đã chạy, nhưng chưa có assertion đủ để gán Pass.</x:v>
      </x:c>
      <x:c r="P22" s="10" t="str">
        <x:v>execution/results.json → PDP-018
execution/assertions.json</x:v>
      </x:c>
      <x:c r="Q22" s="10" t="str"/>
      <x:c r="R22" s="11"/>
    </x:row>
    <x:row r="23" ht="94" customHeight="1">
      <x:c r="A23" s="3" t="str">
        <x:v>PDP-019</x:v>
      </x:c>
      <x:c r="B23" s="3" t="str">
        <x:v>Chuẩn hóa URL ảnh/tài liệu</x:v>
      </x:c>
      <x:c r="C23" s="3" t="str">
        <x:v>P1</x:v>
      </x:c>
      <x:c r="D23" s="3" t="str">
        <x:v>PDP.MEDIA</x:v>
      </x:c>
      <x:c r="E23" s="3" t="str">
        <x:v>Contract</x:v>
      </x:c>
      <x:c r="F23" s="3" t="str">
        <x:v>Unit</x:v>
      </x:c>
      <x:c r="G23" s="3" t="str">
        <x:v>Source</x:v>
      </x:c>
      <x:c r="H23" s="3" t="str">
        <x:v>DS-PRODUCT; user A khi add cart; product có nhiều variant active/inactive, tồn kho và giá khác nhau; kiểm soát cart API.</x:v>
      </x:c>
      <x:c r="I23" s="3" t="str">
        <x:v>http(s), /media/public/a.png, public/a.png, /home/a.png; API root-relative</x:v>
      </x:c>
      <x:c r="J23" s="3" t="str">
        <x:v>1. Resolve từng path.
2. Kiểm tra image/document href.</x:v>
      </x:c>
      <x:c r="K23" s="3" t="str">
        <x:v>Media public resolve theo API origin, local asset giữ local; không lặp /api/public/v1 vào asset; API root-relative giữ /media/... .</x:v>
      </x:c>
      <x:c r="L23" s="3" t="str">
        <x:v>src/features/products/utils/product-display.ts:7</x:v>
      </x:c>
      <x:c r="M23" s="3" t="str">
        <x:v>Đề xuất Unit | Test liên quan, chưa xác nhận phủ ca: src/features/products/utils/product-display.test.ts</x:v>
      </x:c>
      <x:c r="N23" s="10" t="str">
        <x:v>Not run</x:v>
      </x:c>
      <x:c r="O23" s="10" t="str">
        <x:v>MỘT PHẦN: Đã kiểm tra một phần media/rule, thông tin sản phẩm, ArrowRight và quan hệ tab-panel; chưa phủ toàn bộ fallback, Home/End và URL trong ca.</x:v>
      </x:c>
      <x:c r="P23" s="10" t="str">
        <x:v>execution/results.json → PDP-019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PDP-020</x:v>
      </x:c>
      <x:c r="B24" s="3" t="str">
        <x:v>Keyboard tabs đúng ARIA</x:v>
      </x:c>
      <x:c r="C24" s="3" t="str">
        <x:v>P1</x:v>
      </x:c>
      <x:c r="D24" s="3" t="str">
        <x:v>PDP.TABS</x:v>
      </x:c>
      <x:c r="E24" s="3" t="str">
        <x:v>Accessibility</x:v>
      </x:c>
      <x:c r="F24" s="3" t="str">
        <x:v>Integration</x:v>
      </x:c>
      <x:c r="G24" s="3" t="str">
        <x:v>Source</x:v>
      </x:c>
      <x:c r="H24" s="3" t="str">
        <x:v>DS-PRODUCT; user A khi add cart; product có nhiều variant active/inactive, tồn kho và giá khác nhau; kiểm soát cart API.</x:v>
      </x:c>
      <x:c r="I24" s="3" t="str">
        <x:v>Specifications, Description, References</x:v>
      </x:c>
      <x:c r="J24" s="3" t="str">
        <x:v>1. Tab tới tablist.
2. Dùng ArrowLeft/Right, Home/End.
3. Đọc panel.</x:v>
      </x:c>
      <x:c r="K24" s="3" t="str">
        <x:v>Roving tabindex, wrap đầu/cuối; aria-selected/controls/labelledby khớp; focus theo tab; panel đúng dữ liệu.</x:v>
      </x:c>
      <x:c r="L24" s="3" t="str">
        <x:v>src/features/products/components/product-information.tsx:16</x:v>
      </x:c>
      <x:c r="M24" s="3" t="str">
        <x:v>Đề xuất Integration | Test liên quan, chưa xác nhận phủ ca: src/features/products/components/product-information.test.tsx</x:v>
      </x:c>
      <x:c r="N24" s="10" t="str">
        <x:v>Not run</x:v>
      </x:c>
      <x:c r="O24" s="10" t="str">
        <x:v>MỘT PHẦN: Tab-panel đều có trong DOM/SSR, ArrowRight đã kiểm tra; chưa chạy đủ vòng phím Home/End/ArrowLeft.</x:v>
      </x:c>
      <x:c r="P24" s="10" t="str">
        <x:v>FIX-14
execution/results.json → PDP-020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PDP-021</x:v>
      </x:c>
      <x:c r="B25" s="3" t="str">
        <x:v>Fallback mô tả, specs và documents</x:v>
      </x:c>
      <x:c r="C25" s="3" t="str">
        <x:v>P2</x:v>
      </x:c>
      <x:c r="D25" s="3" t="str">
        <x:v>PDP.CONTENT</x:v>
      </x:c>
      <x:c r="E25" s="3" t="str">
        <x:v>Functional</x:v>
      </x:c>
      <x:c r="F25" s="3" t="str">
        <x:v>Integration</x:v>
      </x:c>
      <x:c r="G25" s="3" t="str">
        <x:v>Source</x:v>
      </x:c>
      <x:c r="H25" s="3" t="str">
        <x:v>DS-PRODUCT; user A khi add cart; product có nhiều variant active/inactive, tồn kho và giá khác nhau; kiểm soát cart API.</x:v>
      </x:c>
      <x:c r="I25" s="3" t="str">
        <x:v>description=""; notes có/không; specifications/documents=[]</x:v>
      </x:c>
      <x:c r="J25" s="3" t="str">
        <x:v>1. Mở từng tab.</x:v>
      </x:c>
      <x:c r="K25" s="3" t="str">
        <x:v>Description dùng description rồi notes rồi fallback; Specs/References có empty message; không vẽ dữ liệu demo.</x:v>
      </x:c>
      <x:c r="L25" s="3" t="str">
        <x:v>src/features/products/components/product-purchase-panel.tsx:22
src/features/products/components/product-information.tsx:16</x:v>
      </x:c>
      <x:c r="M25" s="3" t="str">
        <x:v>Đề xuất Integration | Test liên quan, chưa xác nhận phủ ca: src/features/products/components/product-purchase-panel.test.tsx, src/features/products/components/product-information.test.tsx</x:v>
      </x:c>
      <x:c r="N25" s="10" t="str">
        <x:v>Not run</x:v>
      </x:c>
      <x:c r="O25" s="10" t="str">
        <x:v>MỘT PHẦN: Đã kiểm tra một phần media/rule, thông tin sản phẩm, ArrowRight và quan hệ tab-panel; chưa phủ toàn bộ fallback, Home/End và URL trong ca.</x:v>
      </x:c>
      <x:c r="P25" s="10" t="str">
        <x:v>execution/results.json → PDP-021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PDP-022</x:v>
      </x:c>
      <x:c r="B26" s="3" t="str">
        <x:v>Tài liệu và related</x:v>
      </x:c>
      <x:c r="C26" s="3" t="str">
        <x:v>P2</x:v>
      </x:c>
      <x:c r="D26" s="3" t="str">
        <x:v>PDP.CONTENT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DS-PRODUCT; user A khi add cart; product có nhiều variant active/inactive, tồn kho và giá khác nhau; kiểm soát cart API.</x:v>
      </x:c>
      <x:c r="I26" s="3" t="str">
        <x:v>docs sortOrder2,1; related=[] hoặc2 item</x:v>
      </x:c>
      <x:c r="J26" s="3" t="str">
        <x:v>1. Mở References.
2. Kiểm tra thứ tự, KB, link và related card.</x:v>
      </x:c>
      <x:c r="K26" s="3" t="str">
        <x:v>Docs sort tăng, KB tính từ sizeBytes, tab mới rel=noreferrer; related link đúng slug và tôn trọng hidden price.</x:v>
      </x:c>
      <x:c r="L26" s="3" t="str">
        <x:v>src/features/products/components/product-purchase-panel.tsx:22
src/features/products/components/product-information.tsx:16</x:v>
      </x:c>
      <x:c r="M26" s="3" t="str">
        <x:v>Đề xuất Integration | Test liên quan, chưa xác nhận phủ ca: src/features/products/components/product-purchase-panel.test.tsx, src/features/products/components/product-information.test.tsx</x:v>
      </x:c>
      <x:c r="N26" s="10" t="str">
        <x:v>Not run</x:v>
      </x:c>
      <x:c r="O26" s="10" t="str">
        <x:v>MỘT PHẦN: Đã kiểm tra một phần media/rule, thông tin sản phẩm, ArrowRight và quan hệ tab-panel; chưa phủ toàn bộ fallback, Home/End và URL trong ca.</x:v>
      </x:c>
      <x:c r="P26" s="10" t="str">
        <x:v>execution/results.json → PDP-022
execution/assertions.json</x:v>
      </x:c>
      <x:c r="Q26" s="10" t="str">
        <x:v>Codex — local automated QA</x:v>
      </x:c>
      <x:c r="R26" s="11" t="d">
        <x:v>2026-10-18T05:30:31.999Z</x:v>
      </x:c>
    </x:row>
    <x:row r="27" ht="94" customHeight="1">
      <x:c r="A27" s="3" t="str">
        <x:v>PDP-023</x:v>
      </x:c>
      <x:c r="B27" s="3" t="str">
        <x:v>Yêu cầu đặc biệt và hạn chế</x:v>
      </x:c>
      <x:c r="C27" s="3" t="str">
        <x:v>P1</x:v>
      </x:c>
      <x:c r="D27" s="3" t="str">
        <x:v>PDP.CONTENT</x:v>
      </x:c>
      <x:c r="E27" s="3" t="str">
        <x:v>Functional</x:v>
      </x:c>
      <x:c r="F27" s="3" t="str">
        <x:v>Integration</x:v>
      </x:c>
      <x:c r="G27" s="3" t="str">
        <x:v>Decision required</x:v>
      </x:c>
      <x:c r="H27" s="3" t="str">
        <x:v>DS-PRODUCT; user A khi add cart; product có nhiều variant active/inactive, tồn kho và giá khác nhau; kiểm soát cart API.</x:v>
      </x:c>
      <x:c r="I27" s="3" t="str">
        <x:v>restrictedCondition=true; specialRequirement=true; notes</x:v>
      </x:c>
      <x:c r="J27" s="3" t="str">
        <x:v>1. Mở detail.
2. Đọc notice trước mua.</x:v>
      </x:c>
      <x:c r="K27" s="3" t="str">
        <x:v>Hiện đủ notices và certificates từ API; policy có bắt buộc xác nhận/giấy phép trước mua cần PO/backend xác nhận.</x:v>
      </x:c>
      <x:c r="L27" s="3" t="str">
        <x:v>src/features/products/components/product-purchase-panel.tsx:22
src/features/products/components/product-information.tsx:16</x:v>
      </x:c>
      <x:c r="M27" s="3" t="str">
        <x:v>Đề xuất Integration | Test liên quan, chưa xác nhận phủ ca: src/features/products/components/product-purchase-panel.test.tsx, src/features/products/components/product-information.test.tsx</x:v>
      </x:c>
      <x:c r="N27" s="10" t="str">
        <x:v>Blocked</x:v>
      </x:c>
      <x:c r="O27" s="10" t="str">
        <x:v>Expected chưa có quyết định PO/backend hoặc nội dung/contract được phê duyệt. Xem dependency gốc trong test case; không suy diễn Pass từ hành vi hiện tại.</x:v>
      </x:c>
      <x:c r="P27" s="10" t="str">
        <x:v>execution/results.json → PDP-023
execution/assertions.json</x:v>
      </x:c>
      <x:c r="Q27" s="10" t="str">
        <x:v>Codex — local automated QA</x:v>
      </x:c>
      <x:c r="R27" s="11"/>
    </x:row>
    <x:row r="28" ht="94" customHeight="1">
      <x:c r="A28" s="3" t="str">
        <x:v>PDP-024</x:v>
      </x:c>
      <x:c r="B28" s="3" t="str">
        <x:v>Null và nested contract</x:v>
      </x:c>
      <x:c r="C28" s="3" t="str">
        <x:v>P1</x:v>
      </x:c>
      <x:c r="D28" s="3" t="str">
        <x:v>PDP.SCHEMA</x:v>
      </x:c>
      <x:c r="E28" s="3" t="str">
        <x:v>Contract</x:v>
      </x:c>
      <x:c r="F28" s="3" t="str">
        <x:v>Unit</x:v>
      </x:c>
      <x:c r="G28" s="3" t="str">
        <x:v>Source</x:v>
      </x:c>
      <x:c r="H28" s="3" t="str">
        <x:v>DS-PRODUCT; user A khi add cart; product có nhiều variant active/inactive, tồn kho và giá khác nhau; kiểm soát cart API.</x:v>
      </x:c>
      <x:c r="I28" s="3" t="str">
        <x:v>related=null; variant.unitPrice=null; negative stock/promo101</x:v>
      </x:c>
      <x:c r="J28" s="3" t="str">
        <x:v>1. Parse từng response.</x:v>
      </x:c>
      <x:c r="K28" s="3" t="str">
        <x:v>related null -&gt; []; unitPrice null giữ null; nested sai bị reject. Không khẳng định null được đổi thành0 theo README cũ.</x:v>
      </x:c>
      <x:c r="L28" s="3" t="str">
        <x:v>src/features/products/schemas/product-detail.schema.ts:76</x:v>
      </x:c>
      <x:c r="M28" s="3" t="str">
        <x:v>Đề xuất Unit | Test liên quan, chưa xác nhận phủ ca: src/features/products/schemas/product-detail.schema.test.ts</x:v>
      </x:c>
      <x:c r="N28" s="10" t="str">
        <x:v>Pass</x:v>
      </x:c>
      <x:c r="O28" s="10" t="str">
        <x:v>Variant mặc định/giá giảm/giá ẩn, add-cart, thông báo hạn chế và nested contract đã pass tại frontend.</x:v>
      </x:c>
      <x:c r="P28" s="10" t="str">
        <x:v>execution/results.json → PDP-024
execution/assertions.json</x:v>
      </x:c>
      <x:c r="Q28" s="10" t="str">
        <x:v>Codex — local automated QA</x:v>
      </x:c>
      <x:c r="R28" s="11" t="d">
        <x:v>2026-10-18T05:30:31.999Z</x:v>
      </x:c>
    </x:row>
  </x:sheetData>
  <x:conditionalFormatting sqref="N5:N28">
    <x:cfRule type="containsText" dxfId="9" priority="1" operator="containsText" text="Fail"/>
    <x:cfRule type="containsText" dxfId="10" priority="2" operator="containsText" text="Blocked"/>
  </x:conditionalFormatting>
  <x:conditionalFormatting sqref="C5:C28">
    <x:cfRule type="containsText" dxfId="11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fcd8c390614a2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CART — Giỏ hàng và giỏ ở header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CART-001</x:v>
      </x:c>
      <x:c r="B5" s="3" t="str">
        <x:v>Cart từ backend và loading</x:v>
      </x:c>
      <x:c r="C5" s="3" t="str">
        <x:v>P0</x:v>
      </x:c>
      <x:c r="D5" s="3" t="str">
        <x:v>CART.LOAD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DS-CART; cart API sandbox hoặc mock HTTP; cache QueryClient mới mỗi ca; chưa có request mutation pending.</x:v>
      </x:c>
      <x:c r="I5" s="3" t="str">
        <x:v>GET /cart chậm rồi200 DS-CART</x:v>
      </x:c>
      <x:c r="J5" s="3" t="str">
        <x:v>1. Mở /cart.
2. Chờ response.</x:v>
      </x:c>
      <x:c r="K5" s="3" t="str">
        <x:v>Có skeleton lúc pending; hiển thị productName/sku/quantity/currency/variant từ response; không thay bằng checkoutItems demo.</x:v>
      </x:c>
      <x:c r="L5" s="3" t="str">
        <x:v>src/features/checkout/api/cart.service.ts:14
src/features/checkout/components/cart-screen.tsx:19
src/features/checkout/schemas/cart.schema.ts:23</x:v>
      </x:c>
      <x:c r="M5" s="3" t="str">
        <x:v>Đề xuất Integration | Test liên quan, chưa xác nhận phủ ca: src/features/checkout/api/cart.service.test.ts, src/features/checkout/components/cart-screen.test.tsx</x:v>
      </x:c>
      <x:c r="N5" s="10" t="str">
        <x:v>Pass</x:v>
      </x:c>
      <x:c r="O5" s="10" t="str">
        <x:v>Cart API/AbortSignal/contract, quantity draft commit và chọn variant đã pass bằng service mock và UI thật.</x:v>
      </x:c>
      <x:c r="P5" s="10" t="str">
        <x:v>execution/results.json → CART-001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CART-002</x:v>
      </x:c>
      <x:c r="B6" s="3" t="str">
        <x:v>Giỏ rỗng và preview empty</x:v>
      </x:c>
      <x:c r="C6" s="3" t="str">
        <x:v>P2</x:v>
      </x:c>
      <x:c r="D6" s="3" t="str">
        <x:v>CART.LOAD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DS-CART; cart API sandbox hoặc mock HTTP; cache QueryClient mới mỗi ca; chưa có request mutation pending.</x:v>
      </x:c>
      <x:c r="I6" s="3" t="str">
        <x:v>items=[]; /cart?empty=1,true,false</x:v>
      </x:c>
      <x:c r="J6" s="3" t="str">
        <x:v>1. Mở giỏ rỗng.
2. Thử các query preview.</x:v>
      </x:c>
      <x:c r="K6" s="3" t="str">
        <x:v>Giỏ rỗng hiển thị Start shopping -&gt; /products; empty1/true ép UI rỗng theo source nhưng không xóa cart backend; false không ép.</x:v>
      </x:c>
      <x:c r="L6" s="3" t="str">
        <x:v>src/features/checkout/api/cart.service.ts:14
src/features/checkout/components/cart-screen.tsx:19
src/features/checkout/schemas/cart.schema.ts:23</x:v>
      </x:c>
      <x:c r="M6" s="3" t="str">
        <x:v>Đề xuất Integration | Test liên quan, chưa xác nhận phủ ca: src/features/checkout/api/cart.service.test.ts, src/features/checkout/components/cart-screen.test.tsx</x:v>
      </x:c>
      <x:c r="N6" s="10" t="str">
        <x:v>Pass</x:v>
      </x:c>
      <x:c r="O6" s="10" t="str">
        <x:v>Assertion gắn ID đã pass qua UI/service boundary hoặc rule tương ứng; xem tên assertion trong assertions.json.</x:v>
      </x:c>
      <x:c r="P6" s="10" t="str">
        <x:v>execution/results.json → CART-002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CART-003</x:v>
      </x:c>
      <x:c r="B7" s="3" t="str">
        <x:v>Tải giỏ thất bại</x:v>
      </x:c>
      <x:c r="C7" s="3" t="str">
        <x:v>P1</x:v>
      </x:c>
      <x:c r="D7" s="3" t="str">
        <x:v>CART.LOAD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User A có DS-CART; cart API sandbox hoặc mock HTTP; cache QueryClient mới mỗi ca; chưa có request mutation pending.</x:v>
      </x:c>
      <x:c r="I7" s="3" t="str">
        <x:v>GET=401/403/500; không có cache</x:v>
      </x:c>
      <x:c r="J7" s="3" t="str">
        <x:v>1. Mở cart.
2. Quan sát alert và các CTA.</x:v>
      </x:c>
      <x:c r="K7" s="3" t="str">
        <x:v>Không coi lỗi là giỏ rỗng đã tải xong; không checkout sản phẩm giả; thông báo đúng session/error.</x:v>
      </x:c>
      <x:c r="L7" s="3" t="str">
        <x:v>src/features/checkout/api/cart.service.ts:14
src/features/checkout/components/cart-screen.tsx:19
src/features/checkout/schemas/cart.schema.ts:23</x:v>
      </x:c>
      <x:c r="M7" s="3" t="str">
        <x:v>Đề xuất Integration | Test liên quan, chưa xác nhận phủ ca: src/features/checkout/api/cart.service.test.ts, src/features/checkout/components/cart-screen.test.tsx</x:v>
      </x:c>
      <x:c r="N7" s="10" t="str">
        <x:v>Pass</x:v>
      </x:c>
      <x:c r="O7" s="10" t="str">
        <x:v>Assertion gắn ID đã pass qua UI/service boundary hoặc rule tương ứng; xem tên assertion trong assertions.json.</x:v>
      </x:c>
      <x:c r="P7" s="10" t="str">
        <x:v>execution/results.json → CART-003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CART-004</x:v>
      </x:c>
      <x:c r="B8" s="3" t="str">
        <x:v>Mặc định chọn tất cả và chọn một phần</x:v>
      </x:c>
      <x:c r="C8" s="3" t="str">
        <x:v>P1</x:v>
      </x:c>
      <x:c r="D8" s="3" t="str">
        <x:v>CART.SELECT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User A có DS-CART; cart API sandbox hoặc mock HTTP; cache QueryClient mới mỗi ca; chưa có request mutation pending.</x:v>
      </x:c>
      <x:c r="I8" s="3" t="str">
        <x:v>2 items</x:v>
      </x:c>
      <x:c r="J8" s="3" t="str">
        <x:v>1. Mở cart.
2. Bỏ item2.
3. Bỏ all rồi select all.</x:v>
      </x:c>
      <x:c r="K8" s="3" t="str">
        <x:v>Mặc định all; summary chỉ tính item chọn; checkbox từng dòng/all phản ánh state; không mutation cart chỉ vì selection.</x:v>
      </x:c>
      <x:c r="L8" s="3" t="str">
        <x:v>src/features/checkout/components/cart-screen.tsx:19
src/features/checkout/components/cart-order-summary.tsx:11</x:v>
      </x:c>
      <x:c r="M8" s="3" t="str">
        <x:v>Đề xuất Integration | Test liên quan, chưa xác nhận phủ ca: src/features/checkout/components/cart-screen.test.tsx</x:v>
      </x:c>
      <x:c r="N8" s="10" t="str">
        <x:v>Pass</x:v>
      </x:c>
      <x:c r="O8" s="10" t="str">
        <x:v>Assertion gắn ID đã pass qua UI/service boundary hoặc rule tương ứng; xem tên assertion trong assertions.json.</x:v>
      </x:c>
      <x:c r="P8" s="10" t="str">
        <x:v>execution/results.json → CART-004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CART-005</x:v>
      </x:c>
      <x:c r="B9" s="3" t="str">
        <x:v>Không chọn item nào</x:v>
      </x:c>
      <x:c r="C9" s="3" t="str">
        <x:v>P1</x:v>
      </x:c>
      <x:c r="D9" s="3" t="str">
        <x:v>CART.SELECT</x:v>
      </x:c>
      <x:c r="E9" s="3" t="str">
        <x:v>Negative</x:v>
      </x:c>
      <x:c r="F9" s="3" t="str">
        <x:v>Integration</x:v>
      </x:c>
      <x:c r="G9" s="3" t="str">
        <x:v>Source</x:v>
      </x:c>
      <x:c r="H9" s="3" t="str">
        <x:v>User A có DS-CART; cart API sandbox hoặc mock HTTP; cache QueryClient mới mỗi ca; chưa có request mutation pending.</x:v>
      </x:c>
      <x:c r="I9" s="3" t="str">
        <x:v>selectedIds=[]</x:v>
      </x:c>
      <x:c r="J9" s="3" t="str">
        <x:v>1. Bỏ chọn all.
2. Thử CTA bằng click và keyboard.</x:v>
      </x:c>
      <x:c r="K9" s="3" t="str">
        <x:v>Checkout/quote không đi tiếp với mảng rỗng; aria-disabled, focus và href fallback không gây giao dịch.</x:v>
      </x:c>
      <x:c r="L9" s="3" t="str">
        <x:v>src/features/checkout/components/cart-screen.tsx:19
src/features/checkout/components/cart-order-summary.tsx:11</x:v>
      </x:c>
      <x:c r="M9" s="3" t="str">
        <x:v>Đề xuất Integration | Test liên quan, chưa xác nhận phủ ca: src/features/checkout/components/cart-screen.test.tsx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execution/results.json → CART-005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CART-006</x:v>
      </x:c>
      <x:c r="B10" s="3" t="str">
        <x:v>Selection sau response xóa/thêm item</x:v>
      </x:c>
      <x:c r="C10" s="3" t="str">
        <x:v>P1</x:v>
      </x:c>
      <x:c r="D10" s="3" t="str">
        <x:v>CART.SELECT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DS-CART; cart API sandbox hoặc mock HTTP; cache QueryClient mới mỗi ca; chưa có request mutation pending.</x:v>
      </x:c>
      <x:c r="I10" s="3" t="str">
        <x:v>Đã bỏ item2; remove item1; thêm item3 từ nơi khác</x:v>
      </x:c>
      <x:c r="J10" s="3" t="str">
        <x:v>1. Thay cart qua response.
2. Quan sát selection.</x:v>
      </x:c>
      <x:c r="K10" s="3" t="str">
        <x:v>Loại ID không tồn tại; không chọn nhầm bằng index; policy chọn item mới sau khi user từng chỉnh được ghi rõ theo source (chỉ giữ selection còn tồn tại).</x:v>
      </x:c>
      <x:c r="L10" s="3" t="str">
        <x:v>src/features/checkout/components/cart-screen.tsx:19
src/features/checkout/components/cart-order-summary.tsx:11</x:v>
      </x:c>
      <x:c r="M10" s="3" t="str">
        <x:v>Đề xuất Integration | Test liên quan, chưa xác nhận phủ ca: src/features/checkout/components/cart-screen.test.tsx</x:v>
      </x:c>
      <x:c r="N10" s="10" t="str">
        <x:v>Not run</x:v>
      </x:c>
      <x:c r="O10" s="10" t="str">
        <x:v>Chưa thực thi đầy đủ các bước/expected của ca. Các test liên quan đã chạy, nhưng chưa có assertion đủ để gán Pass.</x:v>
      </x:c>
      <x:c r="P10" s="10" t="str">
        <x:v>execution/results.json → CART-006
execution/assertions.json</x:v>
      </x:c>
      <x:c r="Q10" s="10" t="str"/>
      <x:c r="R10" s="11"/>
    </x:row>
    <x:row r="11" ht="102" customHeight="1">
      <x:c r="A11" s="3" t="str">
        <x:v>CART-007</x:v>
      </x:c>
      <x:c r="B11" s="3" t="str">
        <x:v>Gõ không mất focus, commit blur/Enter</x:v>
      </x:c>
      <x:c r="C11" s="3" t="str">
        <x:v>P1</x:v>
      </x:c>
      <x:c r="D11" s="3" t="str">
        <x:v>CART.QUANTITY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DS-CART; cart API sandbox hoặc mock HTTP; cache QueryClient mới mỗi ca; chưa có request mutation pending.</x:v>
      </x:c>
      <x:c r="I11" s="3" t="str">
        <x:v>quantity100 -&gt; 120</x:v>
      </x:c>
      <x:c r="J11" s="3" t="str">
        <x:v>1. Focus quantity, gõ từng số.
2. Chọn Enter hoặc blur.</x:v>
      </x:c>
      <x:c r="K11" s="3" t="str">
        <x:v>Không request mỗi phím hoặc mất focus; PATCH một lần khi commit giá trị khác; giữ number không có phân cách hàng nghìn trong payload.</x:v>
      </x:c>
      <x:c r="L11" s="3" t="str">
        <x:v>src/features/checkout/api/use-update-cart-item-mutation.ts:5
src/features/checkout/components/cart-items-table.tsx:25
src/features/checkout/schemas/cart.schema.ts:23</x:v>
      </x:c>
      <x:c r="M11" s="3" t="str">
        <x:v>Đề xuất Integration | Test liên quan, chưa xác nhận phủ ca: src/features/checkout/components/cart-items-table.test.tsx, src/features/checkout/schemas/cart.schema.test.ts</x:v>
      </x:c>
      <x:c r="N11" s="10" t="str">
        <x:v>Pass</x:v>
      </x:c>
      <x:c r="O11" s="10" t="str">
        <x:v>Cart API/AbortSignal/contract, quantity draft commit và chọn variant đã pass bằng service mock và UI thật.</x:v>
      </x:c>
      <x:c r="P11" s="10" t="str">
        <x:v>execution/results.json → CART-007
execution/assertions.json</x:v>
      </x:c>
      <x:c r="Q11" s="10" t="str">
        <x:v>Codex — local automated QA</x:v>
      </x:c>
      <x:c r="R11" s="11" t="d">
        <x:v>2026-10-18T05:30:31.999Z</x:v>
      </x:c>
    </x:row>
    <x:row r="12" ht="102" customHeight="1">
      <x:c r="A12" s="3" t="str">
        <x:v>CART-008</x:v>
      </x:c>
      <x:c r="B12" s="3" t="str">
        <x:v>Quantity trống và bằng 0</x:v>
      </x:c>
      <x:c r="C12" s="3" t="str">
        <x:v>P1</x:v>
      </x:c>
      <x:c r="D12" s="3" t="str">
        <x:v>CART.QUANTITY</x:v>
      </x:c>
      <x:c r="E12" s="3" t="str">
        <x:v>Boundary</x:v>
      </x:c>
      <x:c r="F12" s="3" t="str">
        <x:v>Integration</x:v>
      </x:c>
      <x:c r="G12" s="3" t="str">
        <x:v>Source</x:v>
      </x:c>
      <x:c r="H12" s="3" t="str">
        <x:v>User A có DS-CART; cart API sandbox hoặc mock HTTP; cache QueryClient mới mỗi ca; chưa có request mutation pending.</x:v>
      </x:c>
      <x:c r="I12" s="3" t="str">
        <x:v>Nhập rỗng hoặc0 rồi blur</x:v>
      </x:c>
      <x:c r="J12" s="3" t="str">
        <x:v>1. Clear quantity.
2. Blur.
3. Lặp với0.</x:v>
      </x:c>
      <x:c r="K12" s="3" t="str">
        <x:v>Clamp về1 khi commit; chỉ PATCH nếu khác quantity ban đầu; không gửi0/NaN.</x:v>
      </x:c>
      <x:c r="L12" s="3" t="str">
        <x:v>src/features/checkout/api/use-update-cart-item-mutation.ts:5
src/features/checkout/components/cart-items-table.tsx:25
src/features/checkout/schemas/cart.schema.ts:23</x:v>
      </x:c>
      <x:c r="M12" s="3" t="str">
        <x:v>Đề xuất Integration | Test liên quan, chưa xác nhận phủ ca: src/features/checkout/components/cart-items-table.test.tsx, src/features/checkout/schemas/cart.schema.test.ts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CART-008
execution/assertions.json</x:v>
      </x:c>
      <x:c r="Q12" s="10" t="str">
        <x:v>Codex — local automated QA</x:v>
      </x:c>
      <x:c r="R12" s="11" t="d">
        <x:v>2026-10-18T05:30:31.999Z</x:v>
      </x:c>
    </x:row>
    <x:row r="13" ht="102" customHeight="1">
      <x:c r="A13" s="3" t="str">
        <x:v>CART-009</x:v>
      </x:c>
      <x:c r="B13" s="3" t="str">
        <x:v>Số thập phân, âm, chữ và giá trị rất lớn</x:v>
      </x:c>
      <x:c r="C13" s="3" t="str">
        <x:v>P1</x:v>
      </x:c>
      <x:c r="D13" s="3" t="str">
        <x:v>CART.QUANTITY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User A có DS-CART; cart API sandbox hoặc mock HTTP; cache QueryClient mới mỗi ca; chưa có request mutation pending.</x:v>
      </x:c>
      <x:c r="I13" s="3" t="str">
        <x:v>-1;1.5;abc;999999;1000000</x:v>
      </x:c>
      <x:c r="J13" s="3" t="str">
        <x:v>1. Gõ/dán từng giá trị.
2. Blur và kiểm tra schema/service.</x:v>
      </x:c>
      <x:c r="K13" s="3" t="str">
        <x:v>UI không chấp nhận âm/phần lẻ; schema quantity integer1..999999. Giá trị vượt max không được gửi.</x:v>
      </x:c>
      <x:c r="L13" s="3" t="str">
        <x:v>src/features/checkout/api/use-update-cart-item-mutation.ts:5
src/features/checkout/components/cart-items-table.tsx:25
src/features/checkout/schemas/cart.schema.ts:23</x:v>
      </x:c>
      <x:c r="M13" s="3" t="str">
        <x:v>Đề xuất Integration | Test liên quan, chưa xác nhận phủ ca: src/features/checkout/components/cart-items-table.test.tsx, src/features/checkout/schemas/cart.schema.test.ts</x:v>
      </x:c>
      <x:c r="N13" s="10" t="str">
        <x:v>Not run</x:v>
      </x:c>
      <x:c r="O13" s="10" t="str">
        <x:v>MỘT PHẦN: Có test liên quan đã pass; chưa chạy đủ mọi đầu vào/keyboard/tổng tiền/failure path được ghi trong ca.</x:v>
      </x:c>
      <x:c r="P13" s="10" t="str">
        <x:v>execution/results.json → CART-009
execution/assertions.json</x:v>
      </x:c>
      <x:c r="Q13" s="10" t="str">
        <x:v>Codex — local automated QA</x:v>
      </x:c>
      <x:c r="R13" s="11" t="d">
        <x:v>2026-10-18T05:30:31.999Z</x:v>
      </x:c>
    </x:row>
    <x:row r="14" ht="102" customHeight="1">
      <x:c r="A14" s="3" t="str">
        <x:v>CART-010</x:v>
      </x:c>
      <x:c r="B14" s="3" t="str">
        <x:v>Tồn kho giảm dưới quantity hiện tại</x:v>
      </x:c>
      <x:c r="C14" s="3" t="str">
        <x:v>P1</x:v>
      </x:c>
      <x:c r="D14" s="3" t="str">
        <x:v>CART.QUANTITY</x:v>
      </x:c>
      <x:c r="E14" s="3" t="str">
        <x:v>Regression</x:v>
      </x:c>
      <x:c r="F14" s="3" t="str">
        <x:v>Integration</x:v>
      </x:c>
      <x:c r="G14" s="3" t="str">
        <x:v>Source</x:v>
      </x:c>
      <x:c r="H14" s="3" t="str">
        <x:v>User A có DS-CART; cart API sandbox hoặc mock HTTP; cache QueryClient mới mỗi ca; chưa có request mutation pending.</x:v>
      </x:c>
      <x:c r="I14" s="3" t="str">
        <x:v>quantity10; stockQty3</x:v>
      </x:c>
      <x:c r="J14" s="3" t="str">
        <x:v>1. Render cart.
2. Giảm quantity về3.</x:v>
      </x:c>
      <x:c r="K14" s="3" t="str">
        <x:v>Item vẫn editable để giảm số lượng; maximum UI ít nhất quantity hiện tại. Backend quyết định quantity cuối; không khóa không cho user giảm.</x:v>
      </x:c>
      <x:c r="L14" s="3" t="str">
        <x:v>src/features/checkout/api/use-update-cart-item-mutation.ts:5
src/features/checkout/components/cart-items-table.tsx:25
src/features/checkout/schemas/cart.schema.ts:23</x:v>
      </x:c>
      <x:c r="M14" s="3" t="str">
        <x:v>Đề xuất Integration | Test liên quan, chưa xác nhận phủ ca: src/features/checkout/components/cart-items-table.test.tsx, src/features/checkout/schemas/cart.schema.test.ts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CART-010
execution/assertions.json</x:v>
      </x:c>
      <x:c r="Q14" s="10" t="str">
        <x:v>Codex — local automated QA</x:v>
      </x:c>
      <x:c r="R14" s="11" t="d">
        <x:v>2026-10-18T05:30:31.999Z</x:v>
      </x:c>
    </x:row>
    <x:row r="15" ht="102" customHeight="1">
      <x:c r="A15" s="3" t="str">
        <x:v>CART-011</x:v>
      </x:c>
      <x:c r="B15" s="3" t="str">
        <x:v>Request update thất bại</x:v>
      </x:c>
      <x:c r="C15" s="3" t="str">
        <x:v>P1</x:v>
      </x:c>
      <x:c r="D15" s="3" t="str">
        <x:v>CART.QUANTITY</x:v>
      </x:c>
      <x:c r="E15" s="3" t="str">
        <x:v>Negative</x:v>
      </x:c>
      <x:c r="F15" s="3" t="str">
        <x:v>Integration</x:v>
      </x:c>
      <x:c r="G15" s="3" t="str">
        <x:v>Source</x:v>
      </x:c>
      <x:c r="H15" s="3" t="str">
        <x:v>User A có DS-CART; cart API sandbox hoặc mock HTTP; cache QueryClient mới mỗi ca; chưa có request mutation pending.</x:v>
      </x:c>
      <x:c r="I15" s="3" t="str">
        <x:v>PATCH=409 (stock changed) hoặc500</x:v>
      </x:c>
      <x:c r="J15" s="3" t="str">
        <x:v>1. Đổi quantity.
2. Cho API reject.
3. Retry.</x:v>
      </x:c>
      <x:c r="K15" s="3" t="str">
        <x:v>Không cập nhật summary bằng số chưa xác nhận; alert; user sửa/retry được. Giá trị draft trên input phải không gây hiểu nhầm đã lưu.</x:v>
      </x:c>
      <x:c r="L15" s="3" t="str">
        <x:v>src/features/checkout/api/use-update-cart-item-mutation.ts:5
src/features/checkout/components/cart-items-table.tsx:25
src/features/checkout/schemas/cart.schema.ts:23</x:v>
      </x:c>
      <x:c r="M15" s="3" t="str">
        <x:v>Đề xuất Integration | Test liên quan, chưa xác nhận phủ ca: src/features/checkout/components/cart-items-table.test.tsx, src/features/checkout/schemas/cart.schema.test.ts</x:v>
      </x:c>
      <x:c r="N15" s="10" t="str">
        <x:v>Not run</x:v>
      </x:c>
      <x:c r="O15" s="10" t="str">
        <x:v>MỘT PHẦN: Có test liên quan đã pass; chưa chạy đủ mọi đầu vào/keyboard/tổng tiền/failure path được ghi trong ca.</x:v>
      </x:c>
      <x:c r="P15" s="10" t="str">
        <x:v>execution/results.json → CART-011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CART-012</x:v>
      </x:c>
      <x:c r="B16" s="3" t="str">
        <x:v>Đổi variant gửi đủ quantity</x:v>
      </x:c>
      <x:c r="C16" s="3" t="str">
        <x:v>P1</x:v>
      </x:c>
      <x:c r="D16" s="3" t="str">
        <x:v>CART.VARIANT</x:v>
      </x:c>
      <x:c r="E16" s="3" t="str">
        <x:v>Functional</x:v>
      </x:c>
      <x:c r="F16" s="3" t="str">
        <x:v>Integration</x:v>
      </x:c>
      <x:c r="G16" s="3" t="str">
        <x:v>Source</x:v>
      </x:c>
      <x:c r="H16" s="3" t="str">
        <x:v>User A có DS-CART; cart API sandbox hoặc mock HTTP; cache QueryClient mới mỗi ca; chưa có request mutation pending.</x:v>
      </x:c>
      <x:c r="I16" s="3" t="str">
        <x:v>ItemA variant V1-&gt;V2; qty100</x:v>
      </x:c>
      <x:c r="J16" s="3" t="str">
        <x:v>1. Mở option.
2. Chọn V2.</x:v>
      </x:c>
      <x:c r="K16" s="3" t="str">
        <x:v>PATCH /cart/items/&lt;encodedItemId&gt; với variantId V2, quantity100; tên option ghép mọi selection.value theo /; render response mới.</x:v>
      </x:c>
      <x:c r="L16" s="3" t="str">
        <x:v>src/features/checkout/api/cart.service.ts:14
src/features/checkout/components/cart-items-table.tsx:25</x:v>
      </x:c>
      <x:c r="M16" s="3" t="str">
        <x:v>Đề xuất Integration | Test liên quan, chưa xác nhận phủ ca: src/features/checkout/api/cart.service.test.ts, src/features/checkout/components/cart-items-table.test.tsx</x:v>
      </x:c>
      <x:c r="N16" s="10" t="str">
        <x:v>Pass</x:v>
      </x:c>
      <x:c r="O16" s="10" t="str">
        <x:v>Cart API/AbortSignal/contract, quantity draft commit và chọn variant đã pass bằng service mock và UI thật.</x:v>
      </x:c>
      <x:c r="P16" s="10" t="str">
        <x:v>execution/results.json → CART-012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CART-013</x:v>
      </x:c>
      <x:c r="B17" s="3" t="str">
        <x:v>Variant đã biến mất hoặc hết stock</x:v>
      </x:c>
      <x:c r="C17" s="3" t="str">
        <x:v>P1</x:v>
      </x:c>
      <x:c r="D17" s="3" t="str">
        <x:v>CART.VARIANT</x:v>
      </x:c>
      <x:c r="E17" s="3" t="str">
        <x:v>Boundary</x:v>
      </x:c>
      <x:c r="F17" s="3" t="str">
        <x:v>Integration</x:v>
      </x:c>
      <x:c r="G17" s="3" t="str">
        <x:v>Source</x:v>
      </x:c>
      <x:c r="H17" s="3" t="str">
        <x:v>User A có DS-CART; cart API sandbox hoặc mock HTTP; cache QueryClient mới mỗi ca; chưa có request mutation pending.</x:v>
      </x:c>
      <x:c r="I17" s="3" t="str">
        <x:v>variantId không nằm variants; variants=[]; V2 stock0</x:v>
      </x:c>
      <x:c r="J17" s="3" t="str">
        <x:v>1. Render từng fixture.
2. Chọn option khác.</x:v>
      </x:c>
      <x:c r="K17" s="3" t="str">
        <x:v>Không crash; label fallback sku/size; backend từ chối option không hợp lệ và UI giữ dữ liệu xác nhận. Kiểm tra khả năng block option hết stock.</x:v>
      </x:c>
      <x:c r="L17" s="3" t="str">
        <x:v>src/features/checkout/api/cart.service.ts:14
src/features/checkout/components/cart-items-table.tsx:25</x:v>
      </x:c>
      <x:c r="M17" s="3" t="str">
        <x:v>Đề xuất Integration | Test liên quan, chưa xác nhận phủ ca: src/features/checkout/api/cart.service.test.ts, src/features/checkout/components/cart-items-table.test.tsx</x:v>
      </x:c>
      <x:c r="N17" s="10" t="str">
        <x:v>Not run</x:v>
      </x:c>
      <x:c r="O17" s="10" t="str">
        <x:v>MỘT PHẦN: Có test liên quan đã pass; chưa chạy đủ mọi đầu vào/keyboard/tổng tiền/failure path được ghi trong ca.</x:v>
      </x:c>
      <x:c r="P17" s="10" t="str">
        <x:v>execution/results.json → CART-013
execution/assertions.json</x:v>
      </x:c>
      <x:c r="Q17" s="10" t="str">
        <x:v>Codex — local automated QA</x:v>
      </x:c>
      <x:c r="R17" s="11" t="d">
        <x:v>2026-10-18T05:30:31.999Z</x:v>
      </x:c>
    </x:row>
    <x:row r="18" ht="102" customHeight="1">
      <x:c r="A18" s="3" t="str">
        <x:v>CART-014</x:v>
      </x:c>
      <x:c r="B18" s="3" t="str">
        <x:v>Xóa thành công và xóa item cuối</x:v>
      </x:c>
      <x:c r="C18" s="3" t="str">
        <x:v>P0</x:v>
      </x:c>
      <x:c r="D18" s="3" t="str">
        <x:v>CART.REMOVE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User A có DS-CART; cart API sandbox hoặc mock HTTP; cache QueryClient mới mỗi ca; chưa có request mutation pending.</x:v>
      </x:c>
      <x:c r="I18" s="3" t="str">
        <x:v>DELETE=204; GET refetch còn1 rồi0</x:v>
      </x:c>
      <x:c r="J18" s="3" t="str">
        <x:v>1. Remove item.
2. Remove item cuối.</x:v>
      </x:c>
      <x:c r="K18" s="3" t="str">
        <x:v>DELETE đúng itemId; cache loại item và invalidates cart; count/tổng đồng bộ; item cuối dẫn empty cart.</x:v>
      </x:c>
      <x:c r="L18" s="3" t="str">
        <x:v>src/features/checkout/api/use-remove-cart-item-mutation.ts:7
src/features/checkout/components/cart-screen.tsx:19
src/features/checkout/components/cart-header-popover.tsx:17</x:v>
      </x:c>
      <x:c r="M18" s="3" t="str">
        <x:v>Đề xuất Integration | Test liên quan, chưa xác nhận phủ ca: src/features/checkout/components/cart-screen.test.tsx, src/features/checkout/components/cart-header-popover.test.tsx</x:v>
      </x:c>
      <x:c r="N18" s="10" t="str">
        <x:v>Pass</x:v>
      </x:c>
      <x:c r="O18" s="10" t="str">
        <x:v>Assertion gắn ID đã pass qua UI/service boundary hoặc rule tương ứng; xem tên assertion trong assertions.json.</x:v>
      </x:c>
      <x:c r="P18" s="10" t="str">
        <x:v>execution/results.json → CART-014
execution/assertions.json</x:v>
      </x:c>
      <x:c r="Q18" s="10" t="str">
        <x:v>Codex — local automated QA</x:v>
      </x:c>
      <x:c r="R18" s="11" t="d">
        <x:v>2026-10-18T05:30:31.999Z</x:v>
      </x:c>
    </x:row>
    <x:row r="19" ht="102" customHeight="1">
      <x:c r="A19" s="3" t="str">
        <x:v>CART-015</x:v>
      </x:c>
      <x:c r="B19" s="3" t="str">
        <x:v>Xóa thất bại</x:v>
      </x:c>
      <x:c r="C19" s="3" t="str">
        <x:v>P1</x:v>
      </x:c>
      <x:c r="D19" s="3" t="str">
        <x:v>CART.REMOVE</x:v>
      </x:c>
      <x:c r="E19" s="3" t="str">
        <x:v>Negative</x:v>
      </x:c>
      <x:c r="F19" s="3" t="str">
        <x:v>Integration</x:v>
      </x:c>
      <x:c r="G19" s="3" t="str">
        <x:v>Quality target</x:v>
      </x:c>
      <x:c r="H19" s="3" t="str">
        <x:v>User A có DS-CART; cart API sandbox hoặc mock HTTP; cache QueryClient mới mỗi ca; chưa có request mutation pending.</x:v>
      </x:c>
      <x:c r="I19" s="3" t="str">
        <x:v>DELETE=500</x:v>
      </x:c>
      <x:c r="J19" s="3" t="str">
        <x:v>1. Remove từ cart và header.
2. So thông báo và dữ liệu.</x:v>
      </x:c>
      <x:c r="K19" s="3" t="str">
        <x:v>Không mất item trên lỗi; hiển thị lỗi và retry được ở cả hai vị trí.
Dependency / lưu ý: Header có removeItemError; CartScreen chưa render removeCart.isError.</x:v>
      </x:c>
      <x:c r="L19" s="3" t="str">
        <x:v>src/features/checkout/api/use-remove-cart-item-mutation.ts:7
src/features/checkout/components/cart-screen.tsx:19
src/features/checkout/components/cart-header-popover.tsx:17</x:v>
      </x:c>
      <x:c r="M19" s="3" t="str">
        <x:v>Đề xuất Integration | Test liên quan, chưa xác nhận phủ ca: src/features/checkout/components/cart-screen.test.tsx, src/features/checkout/components/cart-header-popover.test.tsx</x:v>
      </x:c>
      <x:c r="N19" s="10" t="str">
        <x:v>Pass</x:v>
      </x:c>
      <x:c r="O19" s="10" t="str">
        <x:v>Assertion gắn ID đã pass qua UI/service boundary hoặc rule tương ứng; xem tên assertion trong assertions.json.</x:v>
      </x:c>
      <x:c r="P19" s="10" t="str">
        <x:v>FIX-17
execution/results.json → CART-015
execution/assertions.json</x:v>
      </x:c>
      <x:c r="Q19" s="10" t="str">
        <x:v>Codex — local automated QA</x:v>
      </x:c>
      <x:c r="R19" s="11" t="d">
        <x:v>2026-10-18T05:30:31.999Z</x:v>
      </x:c>
    </x:row>
    <x:row r="20" ht="102" customHeight="1">
      <x:c r="A20" s="3" t="str">
        <x:v>CART-016</x:v>
      </x:c>
      <x:c r="B20" s="3" t="str">
        <x:v>Hai cập nhật chồng chéo</x:v>
      </x:c>
      <x:c r="C20" s="3" t="str">
        <x:v>P0</x:v>
      </x:c>
      <x:c r="D20" s="3" t="str">
        <x:v>CART.RACE</x:v>
      </x:c>
      <x:c r="E20" s="3" t="str">
        <x:v>Concurrency</x:v>
      </x:c>
      <x:c r="F20" s="3" t="str">
        <x:v>Integration</x:v>
      </x:c>
      <x:c r="G20" s="3" t="str">
        <x:v>Quality target</x:v>
      </x:c>
      <x:c r="H20" s="3" t="str">
        <x:v>User A có DS-CART; cart API sandbox hoặc mock HTTP; cache QueryClient mới mỗi ca; chưa có request mutation pending.</x:v>
      </x:c>
      <x:c r="I20" s="3" t="str">
        <x:v>A update chậm; B update nhanh; full-cart response đảo thứ tự</x:v>
      </x:c>
      <x:c r="J20" s="3" t="str">
        <x:v>1. Update A và B trước khi request A xong.
2. Resolve B rồi A.</x:v>
      </x:c>
      <x:c r="K20" s="3" t="str">
        <x:v>Cart cuối phản ánh cả hai thay đổi xác nhận; response cũ không ghi đè cart mới, pending không khóa nhầm item.</x:v>
      </x:c>
      <x:c r="L20" s="3" t="str">
        <x:v>src/features/checkout/api/use-update-cart-item-mutation.ts:5
src/features/checkout/api/use-remove-cart-item-mutation.ts:7
src/features/checkout/components/cart-items-table.tsx:25</x:v>
      </x:c>
      <x:c r="M20" s="3" t="str">
        <x:v>Đề xuất Integration | Test liên quan, chưa xác nhận phủ ca: src/features/checkout/components/cart-items-table.test.tsx</x:v>
      </x:c>
      <x:c r="N20" s="10" t="str">
        <x:v>Not run</x:v>
      </x:c>
      <x:c r="O20" s="10" t="str">
        <x:v>MỘT PHẦN: Đã kiểm tra service tuần tự hóa update/remove; chưa kiểm tra đủ hai cập nhật chồng chéo và cache UI cuối cùng.</x:v>
      </x:c>
      <x:c r="P20" s="10" t="str">
        <x:v>FIX-06
execution/results.json → CART-016
execution/assertions.json</x:v>
      </x:c>
      <x:c r="Q20" s="10" t="str">
        <x:v>Codex — local automated QA</x:v>
      </x:c>
      <x:c r="R20" s="11" t="d">
        <x:v>2026-10-18T05:30:31.999Z</x:v>
      </x:c>
    </x:row>
    <x:row r="21" ht="102" customHeight="1">
      <x:c r="A21" s="3" t="str">
        <x:v>CART-017</x:v>
      </x:c>
      <x:c r="B21" s="3" t="str">
        <x:v>Update và remove cùng item</x:v>
      </x:c>
      <x:c r="C21" s="3" t="str">
        <x:v>P1</x:v>
      </x:c>
      <x:c r="D21" s="3" t="str">
        <x:v>CART.RACE</x:v>
      </x:c>
      <x:c r="E21" s="3" t="str">
        <x:v>Concurrency</x:v>
      </x:c>
      <x:c r="F21" s="3" t="str">
        <x:v>Integration</x:v>
      </x:c>
      <x:c r="G21" s="3" t="str">
        <x:v>Source</x:v>
      </x:c>
      <x:c r="H21" s="3" t="str">
        <x:v>User A có DS-CART; cart API sandbox hoặc mock HTTP; cache QueryClient mới mỗi ca; chưa có request mutation pending.</x:v>
      </x:c>
      <x:c r="I21" s="3" t="str">
        <x:v>PATCH pending rồi DELETE; response PATCH về sau</x:v>
      </x:c>
      <x:c r="J21" s="3" t="str">
        <x:v>1. Đổi quantity.
2. Thử remove khi đang pending.
3. Điều khiển response.</x:v>
      </x:c>
      <x:c r="K21" s="3" t="str">
        <x:v>Không thể gửi thao tác xung đột từ row đang pending; item đã xóa không sống lại vì response cũ.</x:v>
      </x:c>
      <x:c r="L21" s="3" t="str">
        <x:v>src/features/checkout/api/use-update-cart-item-mutation.ts:5
src/features/checkout/api/use-remove-cart-item-mutation.ts:7
src/features/checkout/components/cart-items-table.tsx:25</x:v>
      </x:c>
      <x:c r="M21" s="3" t="str">
        <x:v>Đề xuất Integration | Test liên quan, chưa xác nhận phủ ca: src/features/checkout/components/cart-items-table.test.tsx</x:v>
      </x:c>
      <x:c r="N21" s="10" t="str">
        <x:v>Not run</x:v>
      </x:c>
      <x:c r="O21" s="10" t="str">
        <x:v>MỘT PHẦN: Đã kiểm tra thứ tự request update/remove; chưa chạy trọn tình huống tương tác cùng item và invalidation UI.</x:v>
      </x:c>
      <x:c r="P21" s="10" t="str">
        <x:v>FIX-06
execution/results.json → CART-017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CART-018</x:v>
      </x:c>
      <x:c r="B22" s="3" t="str">
        <x:v>Tổng tiền và discount hiện tại</x:v>
      </x:c>
      <x:c r="C22" s="3" t="str">
        <x:v>P0</x:v>
      </x:c>
      <x:c r="D22" s="3" t="str">
        <x:v>CART.TOTAL</x:v>
      </x:c>
      <x:c r="E22" s="3" t="str">
        <x:v>Functional</x:v>
      </x:c>
      <x:c r="F22" s="3" t="str">
        <x:v>Unit + Integration</x:v>
      </x:c>
      <x:c r="G22" s="3" t="str">
        <x:v>Source</x:v>
      </x:c>
      <x:c r="H22" s="3" t="str">
        <x:v>User A có DS-CART; cart API sandbox hoặc mock HTTP; cache QueryClient mới mỗi ca; chưa có request mutation pending.</x:v>
      </x:c>
      <x:c r="I22" s="3" t="str">
        <x:v>DS-CART:3500+1000; original1200 cho item2</x:v>
      </x:c>
      <x:c r="J22" s="3" t="str">
        <x:v>1. Chọn tất cả.
2. So summary với phép tính độc lập.</x:v>
      </x:c>
      <x:c r="K22" s="3" t="str">
        <x:v>Subtotal4500; discount hiển thị200; tax405; delivery0; total4905. Discount không trừ lần nữa khỏi subtotal đã là giá bán.</x:v>
      </x:c>
      <x:c r="L22" s="3" t="str">
        <x:v>src/features/checkout/components/cart-order-summary.tsx:11
src/features/checkout/data/checkout-data.ts:3</x:v>
      </x:c>
      <x:c r="M22" s="3" t="str">
        <x:v>Đề xuất Unit + Integration | Chưa có test đồng vị trí cho hành vi này</x:v>
      </x:c>
      <x:c r="N22" s="10" t="str">
        <x:v>Not run</x:v>
      </x:c>
      <x:c r="O22" s="10" t="str">
        <x:v>MỘT PHẦN: Có test liên quan đã pass; chưa chạy đủ mọi đầu vào/keyboard/tổng tiền/failure path được ghi trong ca.</x:v>
      </x:c>
      <x:c r="P22" s="10" t="str">
        <x:v>execution/results.json → CART-018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CART-019</x:v>
      </x:c>
      <x:c r="B23" s="3" t="str">
        <x:v>Ưu tiên lineTotal và làm tròn</x:v>
      </x:c>
      <x:c r="C23" s="3" t="str">
        <x:v>P1</x:v>
      </x:c>
      <x:c r="D23" s="3" t="str">
        <x:v>CART.TOTAL</x:v>
      </x:c>
      <x:c r="E23" s="3" t="str">
        <x:v>Boundary</x:v>
      </x:c>
      <x:c r="F23" s="3" t="str">
        <x:v>Unit</x:v>
      </x:c>
      <x:c r="G23" s="3" t="str">
        <x:v>Source</x:v>
      </x:c>
      <x:c r="H23" s="3" t="str">
        <x:v>User A có DS-CART; cart API sandbox hoặc mock HTTP; cache QueryClient mới mỗi ca; chưa có request mutation pending.</x:v>
      </x:c>
      <x:c r="I23" s="3" t="str">
        <x:v>lineTotal khác unitPrice*qty; subtotal0.15</x:v>
      </x:c>
      <x:c r="J23" s="3" t="str">
        <x:v>1. Tính tổng với lineTotal do server cấp.
2. Tính thuế.</x:v>
      </x:c>
      <x:c r="K23" s="3" t="str">
        <x:v>Source ưu tiên lineTotal; tax round(subtotal*0.09,2); không cộng discount lần hai. Chênh lineTotal cần đối chiếu backend, không tự sửa số liệu.</x:v>
      </x:c>
      <x:c r="L23" s="3" t="str">
        <x:v>src/features/checkout/components/cart-order-summary.tsx:11
src/features/checkout/data/checkout-data.ts:3</x:v>
      </x:c>
      <x:c r="M23" s="3" t="str">
        <x:v>Đề xuất Unit | Chưa có test đồng vị trí cho hành vi này</x:v>
      </x:c>
      <x:c r="N23" s="10" t="str">
        <x:v>Not run</x:v>
      </x:c>
      <x:c r="O23" s="10" t="str">
        <x:v>MỘT PHẦN: Có test liên quan đã pass; chưa chạy đủ mọi đầu vào/keyboard/tổng tiền/failure path được ghi trong ca.</x:v>
      </x:c>
      <x:c r="P23" s="10" t="str">
        <x:v>execution/results.json → CART-019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CART-020</x:v>
      </x:c>
      <x:c r="B24" s="3" t="str">
        <x:v>Nhiều currency trong cùng giỏ</x:v>
      </x:c>
      <x:c r="C24" s="3" t="str">
        <x:v>P0</x:v>
      </x:c>
      <x:c r="D24" s="3" t="str">
        <x:v>CART.TOTAL</x:v>
      </x:c>
      <x:c r="E24" s="3" t="str">
        <x:v>Contract</x:v>
      </x:c>
      <x:c r="F24" s="3" t="str">
        <x:v>Integration</x:v>
      </x:c>
      <x:c r="G24" s="3" t="str">
        <x:v>Decision required</x:v>
      </x:c>
      <x:c r="H24" s="3" t="str">
        <x:v>User A có DS-CART; cart API sandbox hoặc mock HTTP; cache QueryClient mới mỗi ca; chưa có request mutation pending.</x:v>
      </x:c>
      <x:c r="I24" s="3" t="str">
        <x:v>ItemA SGD; ItemB USD</x:v>
      </x:c>
      <x:c r="J24" s="3" t="str">
        <x:v>1. Tải giỏ nhiều currency.
2. Xem summary và checkout.</x:v>
      </x:c>
      <x:c r="K24" s="3" t="str">
        <x:v>Không cộng các đơn vị tiền tệ khác nhau thành một total theo currency item đầu; cần backend/PO xác định tách giỏ hoặc quy đổi.</x:v>
      </x:c>
      <x:c r="L24" s="3" t="str">
        <x:v>src/features/checkout/components/cart-order-summary.tsx:11
src/features/checkout/data/checkout-data.ts:3</x:v>
      </x:c>
      <x:c r="M24" s="3" t="str">
        <x:v>Đề xuất Integration | Chưa có test đồng vị trí cho hành vi này</x:v>
      </x:c>
      <x:c r="N24" s="10" t="str">
        <x:v>Blocked</x:v>
      </x:c>
      <x:c r="O24" s="10" t="str">
        <x:v>Expected chưa có quyết định PO/backend hoặc nội dung/contract được phê duyệt. Xem dependency gốc trong test case; không suy diễn Pass từ hành vi hiện tại.</x:v>
      </x:c>
      <x:c r="P24" s="10" t="str">
        <x:v>execution/results.json → CART-020
execution/assertions.json</x:v>
      </x:c>
      <x:c r="Q24" s="10" t="str">
        <x:v>Codex — local automated QA</x:v>
      </x:c>
      <x:c r="R24" s="11"/>
    </x:row>
    <x:row r="25" ht="94" customHeight="1">
      <x:c r="A25" s="3" t="str">
        <x:v>CART-021</x:v>
      </x:c>
      <x:c r="B25" s="3" t="str">
        <x:v>Sản phẩm deleted/unpublished</x:v>
      </x:c>
      <x:c r="C25" s="3" t="str">
        <x:v>P0</x:v>
      </x:c>
      <x:c r="D25" s="3" t="str">
        <x:v>CART.STATUS</x:v>
      </x:c>
      <x:c r="E25" s="3" t="str">
        <x:v>Negative</x:v>
      </x:c>
      <x:c r="F25" s="3" t="str">
        <x:v>Integration</x:v>
      </x:c>
      <x:c r="G25" s="3" t="str">
        <x:v>Quality target</x:v>
      </x:c>
      <x:c r="H25" s="3" t="str">
        <x:v>User A có DS-CART; cart API sandbox hoặc mock HTTP; cache QueryClient mới mỗi ca; chưa có request mutation pending.</x:v>
      </x:c>
      <x:c r="I25" s="3" t="str">
        <x:v>isDeleted=true; productStatus=Draft; stock0</x:v>
      </x:c>
      <x:c r="J25" s="3" t="str">
        <x:v>1. Tải cart với item không còn bán.
2. Thử checkout/quote.</x:v>
      </x:c>
      <x:c r="K25" s="3" t="str">
        <x:v>Xác định chính sách vô hiệu item, thông báo lý do và loại khỏi thanh toán; không chỉ render như item bán được.
Dependency / lưu ý: Schema giữ metadata; source UI chưa kiểm tra chúng trước checkout.</x:v>
      </x:c>
      <x:c r="L25" s="3" t="str">
        <x:v>src/features/checkout/components/cart-screen.tsx:19
src/features/checkout/schemas/cart.schema.ts:23</x:v>
      </x:c>
      <x:c r="M25" s="3" t="str">
        <x:v>Đề xuất Integration | Test liên quan, chưa xác nhận phủ ca: src/features/checkout/components/cart-screen.test.tsx, src/features/checkout/schemas/cart.schema.test.ts</x:v>
      </x:c>
      <x:c r="N25" s="10" t="str">
        <x:v>Not run</x:v>
      </x:c>
      <x:c r="O25" s="10" t="str">
        <x:v>Chưa thực thi đầy đủ các bước/expected của ca. Các test liên quan đã chạy, nhưng chưa có assertion đủ để gán Pass.</x:v>
      </x:c>
      <x:c r="P25" s="10" t="str">
        <x:v>execution/results.json → CART-021
execution/assertions.json</x:v>
      </x:c>
      <x:c r="Q25" s="10" t="str"/>
      <x:c r="R25" s="11"/>
    </x:row>
    <x:row r="26" ht="94" customHeight="1">
      <x:c r="A26" s="3" t="str">
        <x:v>CART-022</x:v>
      </x:c>
      <x:c r="B26" s="3" t="str">
        <x:v>Giỏ header và giỏ mobile</x:v>
      </x:c>
      <x:c r="C26" s="3" t="str">
        <x:v>P2</x:v>
      </x:c>
      <x:c r="D26" s="3" t="str">
        <x:v>CART.HEADER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User A có DS-CART; cart API sandbox hoặc mock HTTP; cache QueryClient mới mỗi ca; chưa có request mutation pending.</x:v>
      </x:c>
      <x:c r="I26" s="3" t="str">
        <x:v>2 items với qty100,1</x:v>
      </x:c>
      <x:c r="J26" s="3" t="str">
        <x:v>1. Mở header popover.
2. So /cart.
3. Resize mobile.</x:v>
      </x:c>
      <x:c r="K26" s="3" t="str">
        <x:v>Badge đếm2 dòng sản phẩm theo source; tổng subtotal và currency đúng; mobile link tới cart; cùng Query Cache, không tải trùng khi còn fresh.</x:v>
      </x:c>
      <x:c r="L26" s="3" t="str">
        <x:v>src/features/checkout/components/cart-header-popover.tsx:17</x:v>
      </x:c>
      <x:c r="M26" s="3" t="str">
        <x:v>Đề xuất Integration | Test liên quan, chưa xác nhận phủ ca: src/features/checkout/components/cart-header-popover.test.tsx</x:v>
      </x:c>
      <x:c r="N26" s="10" t="str">
        <x:v>Not run</x:v>
      </x:c>
      <x:c r="O26" s="10" t="str">
        <x:v>MỘT PHẦN: Có test liên quan đã pass; chưa chạy đủ mọi đầu vào/keyboard/tổng tiền/failure path được ghi trong ca.</x:v>
      </x:c>
      <x:c r="P26" s="10" t="str">
        <x:v>execution/results.json → CART-022
execution/assertions.json</x:v>
      </x:c>
      <x:c r="Q26" s="10" t="str">
        <x:v>Codex — local automated QA</x:v>
      </x:c>
      <x:c r="R26" s="11" t="d">
        <x:v>2026-10-18T05:30:31.999Z</x:v>
      </x:c>
    </x:row>
    <x:row r="27" ht="94" customHeight="1">
      <x:c r="A27" s="3" t="str">
        <x:v>CART-023</x:v>
      </x:c>
      <x:c r="B27" s="3" t="str">
        <x:v>Popover keyboard và xóa lỗi</x:v>
      </x:c>
      <x:c r="C27" s="3" t="str">
        <x:v>P2</x:v>
      </x:c>
      <x:c r="D27" s="3" t="str">
        <x:v>CART.HEADER</x:v>
      </x:c>
      <x:c r="E27" s="3" t="str">
        <x:v>Accessibility</x:v>
      </x:c>
      <x:c r="F27" s="3" t="str">
        <x:v>Integration</x:v>
      </x:c>
      <x:c r="G27" s="3" t="str">
        <x:v>Source</x:v>
      </x:c>
      <x:c r="H27" s="3" t="str">
        <x:v>User A có DS-CART; cart API sandbox hoặc mock HTTP; cache QueryClient mới mỗi ca; chưa có request mutation pending.</x:v>
      </x:c>
      <x:c r="I27" s="3" t="str">
        <x:v>Cart có1 item</x:v>
      </x:c>
      <x:c r="J27" s="3" t="str">
        <x:v>1. Enter mở.
2. Tab chọn/xóa.
3. Escape và mở lại.</x:v>
      </x:c>
      <x:c r="K27" s="3" t="str">
        <x:v>Focus hợp lý, Escape đóng và trả focus trigger; thao tác xóa dùng API/cache chung; lỗi đọc được.</x:v>
      </x:c>
      <x:c r="L27" s="3" t="str">
        <x:v>src/features/checkout/components/cart-header-popover.tsx:17</x:v>
      </x:c>
      <x:c r="M27" s="3" t="str">
        <x:v>Đề xuất Integration | Test liên quan, chưa xác nhận phủ ca: src/features/checkout/components/cart-header-popover.test.tsx</x:v>
      </x:c>
      <x:c r="N27" s="10" t="str">
        <x:v>Not run</x:v>
      </x:c>
      <x:c r="O27" s="10" t="str">
        <x:v>MỘT PHẦN: Có test liên quan đã pass; chưa chạy đủ mọi đầu vào/keyboard/tổng tiền/failure path được ghi trong ca.</x:v>
      </x:c>
      <x:c r="P27" s="10" t="str">
        <x:v>execution/results.json → CART-023
execution/assertions.json</x:v>
      </x:c>
      <x:c r="Q27" s="10" t="str">
        <x:v>Codex — local automated QA</x:v>
      </x:c>
      <x:c r="R27" s="11" t="d">
        <x:v>2026-10-18T05:30:31.999Z</x:v>
      </x:c>
    </x:row>
    <x:row r="28" ht="94" customHeight="1">
      <x:c r="A28" s="3" t="str">
        <x:v>CART-024</x:v>
      </x:c>
      <x:c r="B28" s="3" t="str">
        <x:v>Chuyển đúng selection sang checkout/quote</x:v>
      </x:c>
      <x:c r="C28" s="3" t="str">
        <x:v>P1</x:v>
      </x:c>
      <x:c r="D28" s="3" t="str">
        <x:v>CART.NAV</x:v>
      </x:c>
      <x:c r="E28" s="3" t="str">
        <x:v>Functional</x:v>
      </x:c>
      <x:c r="F28" s="3" t="str">
        <x:v>Integration</x:v>
      </x:c>
      <x:c r="G28" s="3" t="str">
        <x:v>Source</x:v>
      </x:c>
      <x:c r="H28" s="3" t="str">
        <x:v>User A có DS-CART; cart API sandbox hoặc mock HTTP; cache QueryClient mới mỗi ca; chưa có request mutation pending.</x:v>
      </x:c>
      <x:c r="I28" s="3" t="str">
        <x:v>Chỉ chọn item2</x:v>
      </x:c>
      <x:c r="J28" s="3" t="str">
        <x:v>1. Click từng CTA ở cart và header.</x:v>
      </x:c>
      <x:c r="K28" s="3" t="str">
        <x:v>URL items chứa cartItemId đã chọn được encode; màn đích chỉ có item2; không dùng productId hoặc variantId làm itemId.</x:v>
      </x:c>
      <x:c r="L28" s="3" t="str">
        <x:v>src/features/checkout/components/cart-header-popover.tsx:17
src/features/checkout/components/cart-order-summary.tsx:11</x:v>
      </x:c>
      <x:c r="M28" s="3" t="str">
        <x:v>Đề xuất Integration | Test liên quan, chưa xác nhận phủ ca: src/features/checkout/components/cart-header-popover.test.tsx</x:v>
      </x:c>
      <x:c r="N28" s="10" t="str">
        <x:v>Pass</x:v>
      </x:c>
      <x:c r="O28" s="10" t="str">
        <x:v>Assertion gắn ID đã pass qua UI/service boundary hoặc rule tương ứng; xem tên assertion trong assertions.json.</x:v>
      </x:c>
      <x:c r="P28" s="10" t="str">
        <x:v>execution/results.json → CART-024
execution/assertions.json</x:v>
      </x:c>
      <x:c r="Q28" s="10" t="str">
        <x:v>Codex — local automated QA</x:v>
      </x:c>
      <x:c r="R28" s="11" t="d">
        <x:v>2026-10-18T05:30:31.999Z</x:v>
      </x:c>
    </x:row>
    <x:row r="29" ht="94" customHeight="1">
      <x:c r="A29" s="3" t="str">
        <x:v>CART-025</x:v>
      </x:c>
      <x:c r="B29" s="3" t="str">
        <x:v>Contract cart write và validation</x:v>
      </x:c>
      <x:c r="C29" s="3" t="str">
        <x:v>P1</x:v>
      </x:c>
      <x:c r="D29" s="3" t="str">
        <x:v>CART.API</x:v>
      </x:c>
      <x:c r="E29" s="3" t="str">
        <x:v>Contract</x:v>
      </x:c>
      <x:c r="F29" s="3" t="str">
        <x:v>Unit</x:v>
      </x:c>
      <x:c r="G29" s="3" t="str">
        <x:v>Source</x:v>
      </x:c>
      <x:c r="H29" s="3" t="str">
        <x:v>User A có DS-CART; cart API sandbox hoặc mock HTTP; cache QueryClient mới mỗi ca; chưa có request mutation pending.</x:v>
      </x:c>
      <x:c r="I29" s="3" t="str">
        <x:v>invalid variant GUID; quantity0; itemId có ký tự /</x:v>
      </x:c>
      <x:c r="J29" s="3" t="str">
        <x:v>1. Gọi add/update/remove với dữ liệu sai.
2. Gọi itemId cần encode.</x:v>
      </x:c>
      <x:c r="K29" s="3" t="str">
        <x:v>Sai payload bị reject trước HTTP; itemId encode; add/update validate full cart response; remove không yêu cầu body JSON.</x:v>
      </x:c>
      <x:c r="L29" s="3" t="str">
        <x:v>src/features/checkout/api/cart.service.ts:14
src/features/checkout/schemas/cart.schema.ts:23</x:v>
      </x:c>
      <x:c r="M29" s="3" t="str">
        <x:v>Đề xuất Unit | Test liên quan, chưa xác nhận phủ ca: src/features/checkout/api/cart.service.test.ts, src/features/checkout/schemas/cart.schema.test.ts</x:v>
      </x:c>
      <x:c r="N29" s="10" t="str">
        <x:v>Pass</x:v>
      </x:c>
      <x:c r="O29" s="10" t="str">
        <x:v>Cart API/AbortSignal/contract, quantity draft commit và chọn variant đã pass bằng service mock và UI thật.</x:v>
      </x:c>
      <x:c r="P29" s="10" t="str">
        <x:v>execution/results.json → CART-025
execution/assertions.json</x:v>
      </x:c>
      <x:c r="Q29" s="10" t="str">
        <x:v>Codex — local automated QA</x:v>
      </x:c>
      <x:c r="R29" s="11" t="d">
        <x:v>2026-10-18T05:30:31.999Z</x:v>
      </x:c>
    </x:row>
  </x:sheetData>
  <x:conditionalFormatting sqref="N5:N29">
    <x:cfRule type="containsText" dxfId="12" priority="1" operator="containsText" text="Fail"/>
    <x:cfRule type="containsText" dxfId="13" priority="2" operator="containsText" text="Blocked"/>
  </x:conditionalFormatting>
  <x:conditionalFormatting sqref="C5:C29">
    <x:cfRule type="containsText" dxfId="14" priority="3" operator="containsText" text="P0"/>
  </x:conditionalFormatting>
  <x:dataValidations count="1">
    <x:dataValidation type="list" sqref="N5:N2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16e1e000d941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CHK — Checkout và địa chỉ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CHK-001</x:v>
      </x:c>
      <x:c r="B5" s="3" t="str">
        <x:v>Items query lọc cart</x:v>
      </x:c>
      <x:c r="C5" s="3" t="str">
        <x:v>P1</x:v>
      </x:c>
      <x:c r="D5" s="3" t="str">
        <x:v>CHK.ITEMS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A, DS-CART và DS-PROFILE; fixture DS-CHECKOUT; create checkout hiện mock local. Test persistence backend cần contract checkout thật.</x:v>
      </x:c>
      <x:c r="I5" s="3" t="str">
        <x:v>items=I2; thiếu items; ID lạ</x:v>
      </x:c>
      <x:c r="J5" s="3" t="str">
        <x:v>1. Mở từng URL.
2. So item hiển thị.</x:v>
      </x:c>
      <x:c r="K5" s="3" t="str">
        <x:v>Có items hợp lệ chỉ lấy phần giao với cart; thiếu/empty items dùng toàn cart theo source; chỉ ID lạ cho empty screen, không tự lấy toàn bộ.</x:v>
      </x:c>
      <x:c r="L5" s="3" t="str">
        <x:v>src/features/checkout/components/checkout-screen.tsx:29</x:v>
      </x:c>
      <x:c r="M5" s="3" t="str">
        <x:v>Đề xuất Integration | Test liên quan, chưa xác nhận phủ ca: src/features/checkout/components/checkout-screen.test.tsx</x:v>
      </x:c>
      <x:c r="N5" s="10" t="str">
        <x:v>Pass</x:v>
      </x:c>
      <x:c r="O5" s="10" t="str">
        <x:v>Assertion gắn ID đã pass qua UI/service boundary hoặc rule tương ứng; xem tên assertion trong assertions.json.</x:v>
      </x:c>
      <x:c r="P5" s="10" t="str">
        <x:v>execution/results.json → CHK-001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CHK-002</x:v>
      </x:c>
      <x:c r="B6" s="3" t="str">
        <x:v>Query lặp và dữ liệu khác kiểu</x:v>
      </x:c>
      <x:c r="C6" s="3" t="str">
        <x:v>P1</x:v>
      </x:c>
      <x:c r="D6" s="3" t="str">
        <x:v>CHK.ITEMS</x:v>
      </x:c>
      <x:c r="E6" s="3" t="str">
        <x:v>Boundary</x:v>
      </x:c>
      <x:c r="F6" s="3" t="str">
        <x:v>Integration</x:v>
      </x:c>
      <x:c r="G6" s="3" t="str">
        <x:v>Quality target</x:v>
      </x:c>
      <x:c r="H6" s="3" t="str">
        <x:v>User A, DS-CART và DS-PROFILE; fixture DS-CHECKOUT; create checkout hiện mock local. Test persistence backend cần contract checkout thật.</x:v>
      </x:c>
      <x:c r="I6" s="3" t="str">
        <x:v>items lặp2 lần; comma rỗng; ID trùng</x:v>
      </x:c>
      <x:c r="J6" s="3" t="str">
        <x:v>1. Truy cập URL bất thường.
2. Theo dõi server render.</x:v>
      </x:c>
      <x:c r="K6" s="3" t="str">
        <x:v>Không crash do searchParams.items thành array; không duplicate dòng/tổng do ID trùng.</x:v>
      </x:c>
      <x:c r="L6" s="3" t="str">
        <x:v>src/features/checkout/components/checkout-screen.tsx:29</x:v>
      </x:c>
      <x:c r="M6" s="3" t="str">
        <x:v>Đề xuất Integration | Test liên quan, chưa xác nhận phủ ca: src/features/checkout/components/checkout-screen.test.tsx</x:v>
      </x:c>
      <x:c r="N6" s="10" t="str">
        <x:v>Pass</x:v>
      </x:c>
      <x:c r="O6" s="10" t="str">
        <x:v>Assertion gắn ID đã pass qua UI/service boundary hoặc rule tương ứng; xem tên assertion trong assertions.json.</x:v>
      </x:c>
      <x:c r="P6" s="10" t="str">
        <x:v>execution/results.json → CHK-002
execution/browser-results.json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CHK-003</x:v>
      </x:c>
      <x:c r="B7" s="3" t="str">
        <x:v>Prefill từ profile</x:v>
      </x:c>
      <x:c r="C7" s="3" t="str">
        <x:v>P1</x:v>
      </x:c>
      <x:c r="D7" s="3" t="str">
        <x:v>CHK.PROFILE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User A, DS-CART và DS-PROFILE; fixture DS-CHECKOUT; create checkout hiện mock local. Test persistence backend cần contract checkout thật.</x:v>
      </x:c>
      <x:c r="I7" s="3" t="str">
        <x:v>DS-PROFILE SG/VN; user chưa gõ form</x:v>
      </x:c>
      <x:c r="J7" s="3" t="str">
        <x:v>1. Trì hoãn GET /me/profile.
2. Resolve response.</x:v>
      </x:c>
      <x:c r="K7" s="3" t="str">
        <x:v>Điền fullName,email,phone,company,delivery,billing từ user; country name/ISO được resolve; không lặp dial code.</x:v>
      </x:c>
      <x:c r="L7" s="3" t="str">
        <x:v>src/features/checkout/components/checkout-screen.tsx:29</x:v>
      </x:c>
      <x:c r="M7" s="3" t="str">
        <x:v>Đề xuất Integration | Test liên quan, chưa xác nhận phủ ca: src/features/checkout/components/checkout-screen.test.tsx</x:v>
      </x:c>
      <x:c r="N7" s="10" t="str">
        <x:v>Not run</x:v>
      </x:c>
      <x:c r="O7" s="10" t="str">
        <x:v>Chưa thực thi đầy đủ các bước/expected của ca. Các test liên quan đã chạy, nhưng chưa có assertion đủ để gán Pass.</x:v>
      </x:c>
      <x:c r="P7" s="10" t="str">
        <x:v>execution/results.json → CHK-003
execution/assertions.json</x:v>
      </x:c>
      <x:c r="Q7" s="10" t="str"/>
      <x:c r="R7" s="11"/>
    </x:row>
    <x:row r="8" ht="94" customHeight="1">
      <x:c r="A8" s="3" t="str">
        <x:v>CHK-004</x:v>
      </x:c>
      <x:c r="B8" s="3" t="str">
        <x:v>Không ghi đè form đã chỉnh</x:v>
      </x:c>
      <x:c r="C8" s="3" t="str">
        <x:v>P1</x:v>
      </x:c>
      <x:c r="D8" s="3" t="str">
        <x:v>CHK.PROFILE</x:v>
      </x:c>
      <x:c r="E8" s="3" t="str">
        <x:v>Concurrency</x:v>
      </x:c>
      <x:c r="F8" s="3" t="str">
        <x:v>Integration</x:v>
      </x:c>
      <x:c r="G8" s="3" t="str">
        <x:v>Source</x:v>
      </x:c>
      <x:c r="H8" s="3" t="str">
        <x:v>User A, DS-CART và DS-PROFILE; fixture DS-CHECKOUT; create checkout hiện mock local. Test persistence backend cần contract checkout thật.</x:v>
      </x:c>
      <x:c r="I8" s="3" t="str">
        <x:v>Người dùng gõ trước response profile</x:v>
      </x:c>
      <x:c r="J8" s="3" t="str">
        <x:v>1. Gõ địa chỉ mới.
2. Resolve GET profile.</x:v>
      </x:c>
      <x:c r="K8" s="3" t="str">
        <x:v>isDirty bảo vệ toàn form, không reset nội dung user đang nhập.</x:v>
      </x:c>
      <x:c r="L8" s="3" t="str">
        <x:v>src/features/checkout/components/checkout-screen.tsx:29</x:v>
      </x:c>
      <x:c r="M8" s="3" t="str">
        <x:v>Đề xuất Integration | Test liên quan, chưa xác nhận phủ ca: src/features/checkout/components/checkout-screen.test.tsx</x:v>
      </x:c>
      <x:c r="N8" s="10" t="str">
        <x:v>Not run</x:v>
      </x:c>
      <x:c r="O8" s="10" t="str">
        <x:v>Chưa thực thi đầy đủ các bước/expected của ca. Các test liên quan đã chạy, nhưng chưa có assertion đủ để gán Pass.</x:v>
      </x:c>
      <x:c r="P8" s="10" t="str">
        <x:v>execution/results.json → CHK-004
execution/assertions.json</x:v>
      </x:c>
      <x:c r="Q8" s="10" t="str"/>
      <x:c r="R8" s="11"/>
    </x:row>
    <x:row r="9" ht="94" customHeight="1">
      <x:c r="A9" s="3" t="str">
        <x:v>CHK-005</x:v>
      </x:c>
      <x:c r="B9" s="3" t="str">
        <x:v>Không sử dụng danh tính demo làm mặc định giao dịch</x:v>
      </x:c>
      <x:c r="C9" s="3" t="str">
        <x:v>P0</x:v>
      </x:c>
      <x:c r="D9" s="3" t="str">
        <x:v>CHK.PROFILE</x:v>
      </x:c>
      <x:c r="E9" s="3" t="str">
        <x:v>Functional</x:v>
      </x:c>
      <x:c r="F9" s="3" t="str">
        <x:v>Integration</x:v>
      </x:c>
      <x:c r="G9" s="3" t="str">
        <x:v>Quality target</x:v>
      </x:c>
      <x:c r="H9" s="3" t="str">
        <x:v>User A, DS-CART và DS-PROFILE; fixture DS-CHECKOUT; create checkout hiện mock local. Test persistence backend cần contract checkout thật.</x:v>
      </x:c>
      <x:c r="I9" s="3" t="str">
        <x:v>Guest hoặc profile=500/null</x:v>
      </x:c>
      <x:c r="J9" s="3" t="str">
        <x:v>1. Mở checkout và chờ profile.
2. Kiểm tra dữ liệu liên hệ trước submit.</x:v>
      </x:c>
      <x:c r="K9" s="3" t="str">
        <x:v>Không thanh toán dưới tên/email/địa chỉ Sarah demo khi chưa có dữ liệu người dùng; yêu cầu người dùng nhập/xác nhận dữ liệu thật.
Dependency / lưu ý: Source defaultValues hiện có Sarah Chen và địa chỉ demo.</x:v>
      </x:c>
      <x:c r="L9" s="3" t="str">
        <x:v>src/features/checkout/components/checkout-screen.tsx:29</x:v>
      </x:c>
      <x:c r="M9" s="3" t="str">
        <x:v>Đề xuất Integration | Test liên quan, chưa xác nhận phủ ca: src/features/checkout/components/checkout-screen.test.tsx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FIX-07
execution/results.json → CHK-005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CHK-006</x:v>
      </x:c>
      <x:c r="B10" s="3" t="str">
        <x:v>fullName: 1 ký tự</x:v>
      </x:c>
      <x:c r="C10" s="3" t="str">
        <x:v>P1</x:v>
      </x:c>
      <x:c r="D10" s="3" t="str">
        <x:v>CHK.VALIDATE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User A, DS-CART và DS-PROFILE; fixture DS-CHECKOUT; create checkout hiện mock local. Test persistence backend cần contract checkout thật.</x:v>
      </x:c>
      <x:c r="I10" s="3" t="str">
        <x:v>DS-CHECKOUT; fullName="A"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Báo lỗi tại fullName; không gửi mutation khi giá trị chưa hợp lệ.</x:v>
      </x:c>
      <x:c r="L10" s="3" t="str">
        <x:v>src/features/checkout/schemas/checkout.schema.ts:5</x:v>
      </x:c>
      <x:c r="M10" s="3" t="str">
        <x:v>Đề xuất Unit + Integration | Test liên quan, chưa xác nhận phủ ca: src/features/checkout/schemas/checkout.schema.test.ts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CHK-006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CHK-007</x:v>
      </x:c>
      <x:c r="B11" s="3" t="str">
        <x:v>fullName: 2 ký tự</x:v>
      </x:c>
      <x:c r="C11" s="3" t="str">
        <x:v>P1</x:v>
      </x:c>
      <x:c r="D11" s="3" t="str">
        <x:v>CHK.VALIDATE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User A, DS-CART và DS-PROFILE; fixture DS-CHECKOUT; create checkout hiện mock local. Test persistence backend cần contract checkout thật.</x:v>
      </x:c>
      <x:c r="I11" s="3" t="str">
        <x:v>DS-CHECKOUT; fullName="AA"</x:v>
      </x:c>
      <x:c r="J11" s="3" t="str">
        <x:v>1. Khôi phục bộ dữ liệu hợp lệ.
2. Chỉ thay fullName bằng giá trị nêu trong dữ liệu.
3. Submit và quan sát lỗi cùng lời gọi service.</x:v>
      </x:c>
      <x:c r="K11" s="3" t="str">
        <x:v>Form chấp nhận field tại ngưỡng hợp lệ và tiếp tục kiểm tra các field còn lại.</x:v>
      </x:c>
      <x:c r="L11" s="3" t="str">
        <x:v>src/features/checkout/schemas/checkout.schema.ts:5</x:v>
      </x:c>
      <x:c r="M11" s="3" t="str">
        <x:v>Đề xuất Unit + Integration | Test liên quan, chưa xác nhận phủ ca: src/features/checkout/schemas/checkout.schema.test.ts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CHK-007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CHK-008</x:v>
      </x:c>
      <x:c r="B12" s="3" t="str">
        <x:v>address: 7 ký tự</x:v>
      </x:c>
      <x:c r="C12" s="3" t="str">
        <x:v>P1</x:v>
      </x:c>
      <x:c r="D12" s="3" t="str">
        <x:v>CHK.VALIDATE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User A, DS-CART và DS-PROFILE; fixture DS-CHECKOUT; create checkout hiện mock local. Test persistence backend cần contract checkout thật.</x:v>
      </x:c>
      <x:c r="I12" s="3" t="str">
        <x:v>DS-CHECKOUT; address="AAAAAAA"</x:v>
      </x:c>
      <x:c r="J12" s="3" t="str">
        <x:v>1. Khôi phục bộ dữ liệu hợp lệ.
2. Chỉ thay address bằng giá trị nêu trong dữ liệu.
3. Submit và quan sát lỗi cùng lời gọi service.</x:v>
      </x:c>
      <x:c r="K12" s="3" t="str">
        <x:v>Báo lỗi tại address; không gửi mutation khi giá trị chưa hợp lệ.</x:v>
      </x:c>
      <x:c r="L12" s="3" t="str">
        <x:v>src/features/checkout/schemas/checkout.schema.ts:5</x:v>
      </x:c>
      <x:c r="M12" s="3" t="str">
        <x:v>Đề xuất Unit + Integration | Test liên quan, chưa xác nhận phủ ca: src/features/checkout/schemas/checkout.schema.test.ts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CHK-008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CHK-009</x:v>
      </x:c>
      <x:c r="B13" s="3" t="str">
        <x:v>address: 8 ký tự</x:v>
      </x:c>
      <x:c r="C13" s="3" t="str">
        <x:v>P1</x:v>
      </x:c>
      <x:c r="D13" s="3" t="str">
        <x:v>CHK.VALIDATE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User A, DS-CART và DS-PROFILE; fixture DS-CHECKOUT; create checkout hiện mock local. Test persistence backend cần contract checkout thật.</x:v>
      </x:c>
      <x:c r="I13" s="3" t="str">
        <x:v>DS-CHECKOUT; address="AAAAAAAA"</x:v>
      </x:c>
      <x:c r="J13" s="3" t="str">
        <x:v>1. Khôi phục bộ dữ liệu hợp lệ.
2. Chỉ thay address bằng giá trị nêu trong dữ liệu.
3. Submit và quan sát lỗi cùng lời gọi service.</x:v>
      </x:c>
      <x:c r="K13" s="3" t="str">
        <x:v>Form chấp nhận field tại ngưỡng hợp lệ và tiếp tục kiểm tra các field còn lại.</x:v>
      </x:c>
      <x:c r="L13" s="3" t="str">
        <x:v>src/features/checkout/schemas/checkout.schema.ts:5</x:v>
      </x:c>
      <x:c r="M13" s="3" t="str">
        <x:v>Đề xuất Unit + Integration | Test liên quan, chưa xác nhận phủ ca: src/features/checkout/schemas/checkout.schema.test.ts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CHK-009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CHK-010</x:v>
      </x:c>
      <x:c r="B14" s="3" t="str">
        <x:v>postalCode: 5 chữ số</x:v>
      </x:c>
      <x:c r="C14" s="3" t="str">
        <x:v>P1</x:v>
      </x:c>
      <x:c r="D14" s="3" t="str">
        <x:v>CHK.VALIDATE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User A, DS-CART và DS-PROFILE; fixture DS-CHECKOUT; create checkout hiện mock local. Test persistence backend cần contract checkout thật.</x:v>
      </x:c>
      <x:c r="I14" s="3" t="str">
        <x:v>DS-CHECKOUT; postalCode="01111"</x:v>
      </x:c>
      <x:c r="J14" s="3" t="str">
        <x:v>1. Khôi phục bộ dữ liệu hợp lệ.
2. Chỉ thay postalCode bằng giá trị nêu trong dữ liệu.
3. Submit và quan sát lỗi cùng lời gọi service.</x:v>
      </x:c>
      <x:c r="K14" s="3" t="str">
        <x:v>Báo lỗi tại postalCode; không gửi mutation khi giá trị chưa hợp lệ.</x:v>
      </x:c>
      <x:c r="L14" s="3" t="str">
        <x:v>src/features/checkout/schemas/checkout.schema.ts:5</x:v>
      </x:c>
      <x:c r="M14" s="3" t="str">
        <x:v>Đề xuất Unit + Integration | Test liên quan, chưa xác nhận phủ ca: src/features/checkout/schemas/checkout.schema.test.ts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CHK-010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CHK-011</x:v>
      </x:c>
      <x:c r="B15" s="3" t="str">
        <x:v>postalCode: 6 chữ số kể cả 0 đầu</x:v>
      </x:c>
      <x:c r="C15" s="3" t="str">
        <x:v>P1</x:v>
      </x:c>
      <x:c r="D15" s="3" t="str">
        <x:v>CHK.VALIDATE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User A, DS-CART và DS-PROFILE; fixture DS-CHECKOUT; create checkout hiện mock local. Test persistence backend cần contract checkout thật.</x:v>
      </x:c>
      <x:c r="I15" s="3" t="str">
        <x:v>DS-CHECKOUT; postalCode="011111"</x:v>
      </x:c>
      <x:c r="J15" s="3" t="str">
        <x:v>1. Khôi phục bộ dữ liệu hợp lệ.
2. Chỉ thay postalCode bằng giá trị nêu trong dữ liệu.
3. Submit và quan sát lỗi cùng lời gọi service.</x:v>
      </x:c>
      <x:c r="K15" s="3" t="str">
        <x:v>Form chấp nhận field tại ngưỡng hợp lệ và tiếp tục kiểm tra các field còn lại.</x:v>
      </x:c>
      <x:c r="L15" s="3" t="str">
        <x:v>src/features/checkout/schemas/checkout.schema.ts:5</x:v>
      </x:c>
      <x:c r="M15" s="3" t="str">
        <x:v>Đề xuất Unit + Integration | Test liên quan, chưa xác nhận phủ ca: src/features/checkout/schemas/checkout.schema.test.ts</x:v>
      </x:c>
      <x:c r="N15" s="10" t="str">
        <x:v>Pass</x:v>
      </x:c>
      <x:c r="O15" s="10" t="str">
        <x:v>Assertion gắn ID đã pass qua UI/service boundary hoặc rule tương ứng; xem tên assertion trong assertions.json.</x:v>
      </x:c>
      <x:c r="P15" s="10" t="str">
        <x:v>execution/results.json → CHK-011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CHK-012</x:v>
      </x:c>
      <x:c r="B16" s="3" t="str">
        <x:v>postalCode: 7 chữ số</x:v>
      </x:c>
      <x:c r="C16" s="3" t="str">
        <x:v>P1</x:v>
      </x:c>
      <x:c r="D16" s="3" t="str">
        <x:v>CHK.VALIDATE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User A, DS-CART và DS-PROFILE; fixture DS-CHECKOUT; create checkout hiện mock local. Test persistence backend cần contract checkout thật.</x:v>
      </x:c>
      <x:c r="I16" s="3" t="str">
        <x:v>DS-CHECKOUT; postalCode="0111111"</x:v>
      </x:c>
      <x:c r="J16" s="3" t="str">
        <x:v>1. Khôi phục bộ dữ liệu hợp lệ.
2. Chỉ thay postalCode bằng giá trị nêu trong dữ liệu.
3. Submit và quan sát lỗi cùng lời gọi service.</x:v>
      </x:c>
      <x:c r="K16" s="3" t="str">
        <x:v>Báo lỗi tại postalCode; không gửi mutation khi giá trị chưa hợp lệ.</x:v>
      </x:c>
      <x:c r="L16" s="3" t="str">
        <x:v>src/features/checkout/schemas/checkout.schema.ts:5</x:v>
      </x:c>
      <x:c r="M16" s="3" t="str">
        <x:v>Đề xuất Unit + Integration | Test liên quan, chưa xác nhận phủ ca: src/features/checkout/schemas/checkout.schema.test.ts</x:v>
      </x:c>
      <x:c r="N16" s="10" t="str">
        <x:v>Pass</x:v>
      </x:c>
      <x:c r="O16" s="10" t="str">
        <x:v>Assertion gắn ID đã pass qua UI/service boundary hoặc rule tương ứng; xem tên assertion trong assertions.json.</x:v>
      </x:c>
      <x:c r="P16" s="10" t="str">
        <x:v>execution/results.json → CHK-012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CHK-013</x:v>
      </x:c>
      <x:c r="B17" s="3" t="str">
        <x:v>companyName: rỗng</x:v>
      </x:c>
      <x:c r="C17" s="3" t="str">
        <x:v>P1</x:v>
      </x:c>
      <x:c r="D17" s="3" t="str">
        <x:v>CHK.VALIDATE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User A, DS-CART và DS-PROFILE; fixture DS-CHECKOUT; create checkout hiện mock local. Test persistence backend cần contract checkout thật.</x:v>
      </x:c>
      <x:c r="I17" s="3" t="str">
        <x:v>DS-CHECKOUT; companyName=""</x:v>
      </x:c>
      <x:c r="J17" s="3" t="str">
        <x:v>1. Khôi phục bộ dữ liệu hợp lệ.
2. Chỉ thay companyName bằng giá trị nêu trong dữ liệu.
3. Submit và quan sát lỗi cùng lời gọi service.</x:v>
      </x:c>
      <x:c r="K17" s="3" t="str">
        <x:v>Form chấp nhận field tại ngưỡng hợp lệ và tiếp tục kiểm tra các field còn lại.</x:v>
      </x:c>
      <x:c r="L17" s="3" t="str">
        <x:v>src/features/checkout/schemas/checkout.schema.ts:5</x:v>
      </x:c>
      <x:c r="M17" s="3" t="str">
        <x:v>Đề xuất Unit + Integration | Test liên quan, chưa xác nhận phủ ca: src/features/checkout/schemas/checkout.schema.test.ts</x:v>
      </x:c>
      <x:c r="N17" s="10" t="str">
        <x:v>Pass</x:v>
      </x:c>
      <x:c r="O17" s="10" t="str">
        <x:v>Assertion gắn ID đã pass qua UI/service boundary hoặc rule tương ứng; xem tên assertion trong assertions.json.</x:v>
      </x:c>
      <x:c r="P17" s="10" t="str">
        <x:v>execution/results.json → CHK-013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CHK-014</x:v>
      </x:c>
      <x:c r="B18" s="3" t="str">
        <x:v>companyName: 100 ký tự</x:v>
      </x:c>
      <x:c r="C18" s="3" t="str">
        <x:v>P1</x:v>
      </x:c>
      <x:c r="D18" s="3" t="str">
        <x:v>CHK.VALIDATE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User A, DS-CART và DS-PROFILE; fixture DS-CHECKOUT; create checkout hiện mock local. Test persistence backend cần contract checkout thật.</x:v>
      </x:c>
      <x:c r="I18" s="3" t="str">
        <x:v>DS-CHECKOUT; companyName="AAAAAAAAAAAAAAAAAAAAAAAAAAAAAAAAAAAAAAAAAAAAAAAAAAAAAAAAAAAAAAAAAAAAAAAAAAAAAAAAAAAAAAAAAAAAAAAAAAAA"</x:v>
      </x:c>
      <x:c r="J18" s="3" t="str">
        <x:v>1. Khôi phục bộ dữ liệu hợp lệ.
2. Chỉ thay companyName bằng giá trị nêu trong dữ liệu.
3. Submit và quan sát lỗi cùng lời gọi service.</x:v>
      </x:c>
      <x:c r="K18" s="3" t="str">
        <x:v>Form chấp nhận field tại ngưỡng hợp lệ và tiếp tục kiểm tra các field còn lại.</x:v>
      </x:c>
      <x:c r="L18" s="3" t="str">
        <x:v>src/features/checkout/schemas/checkout.schema.ts:5</x:v>
      </x:c>
      <x:c r="M18" s="3" t="str">
        <x:v>Đề xuất Unit + Integration | Test liên quan, chưa xác nhận phủ ca: src/features/checkout/schemas/checkout.schema.test.ts</x:v>
      </x:c>
      <x:c r="N18" s="10" t="str">
        <x:v>Pass</x:v>
      </x:c>
      <x:c r="O18" s="10" t="str">
        <x:v>Assertion gắn ID đã pass qua UI/service boundary hoặc rule tương ứng; xem tên assertion trong assertions.json.</x:v>
      </x:c>
      <x:c r="P18" s="10" t="str">
        <x:v>execution/results.json → CHK-014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CHK-015</x:v>
      </x:c>
      <x:c r="B19" s="3" t="str">
        <x:v>companyName: 101 ký tự</x:v>
      </x:c>
      <x:c r="C19" s="3" t="str">
        <x:v>P1</x:v>
      </x:c>
      <x:c r="D19" s="3" t="str">
        <x:v>CHK.VALIDATE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User A, DS-CART và DS-PROFILE; fixture DS-CHECKOUT; create checkout hiện mock local. Test persistence backend cần contract checkout thật.</x:v>
      </x:c>
      <x:c r="I19" s="3" t="str">
        <x:v>DS-CHECKOUT; companyName="AAAAAAAAAAAAAAAAAAAAAAAAAAAAAAAAAAAAAAAAAAAAAAAAAAAAAAAAAAAAAAAAAAAAAAAAAAAAAAAAAAAAAAAAAAAAAAAAAAAAA"</x:v>
      </x:c>
      <x:c r="J19" s="3" t="str">
        <x:v>1. Khôi phục bộ dữ liệu hợp lệ.
2. Chỉ thay companyName bằng giá trị nêu trong dữ liệu.
3. Submit và quan sát lỗi cùng lời gọi service.</x:v>
      </x:c>
      <x:c r="K19" s="3" t="str">
        <x:v>Báo lỗi tại companyName; không gửi mutation khi giá trị chưa hợp lệ.</x:v>
      </x:c>
      <x:c r="L19" s="3" t="str">
        <x:v>src/features/checkout/schemas/checkout.schema.ts:5</x:v>
      </x:c>
      <x:c r="M19" s="3" t="str">
        <x:v>Đề xuất Unit + Integration | Test liên quan, chưa xác nhận phủ ca: src/features/checkout/schemas/checkout.schema.test.ts</x:v>
      </x:c>
      <x:c r="N19" s="10" t="str">
        <x:v>Pass</x:v>
      </x:c>
      <x:c r="O19" s="10" t="str">
        <x:v>Assertion gắn ID đã pass qua UI/service boundary hoặc rule tương ứng; xem tên assertion trong assertions.json.</x:v>
      </x:c>
      <x:c r="P19" s="10" t="str">
        <x:v>execution/results.json → CHK-015
execution/assertions.json</x:v>
      </x:c>
      <x:c r="Q19" s="10" t="str">
        <x:v>Codex — local automated QA</x:v>
      </x:c>
      <x:c r="R19" s="11" t="d">
        <x:v>2026-10-18T05:30:31.999Z</x:v>
      </x:c>
    </x:row>
    <x:row r="20" ht="94" customHeight="1">
      <x:c r="A20" s="3" t="str">
        <x:v>CHK-016</x:v>
      </x:c>
      <x:c r="B20" s="3" t="str">
        <x:v>Đồng bộ country và mã gọi</x:v>
      </x:c>
      <x:c r="C20" s="3" t="str">
        <x:v>P1</x:v>
      </x:c>
      <x:c r="D20" s="3" t="str">
        <x:v>CHK.ADDRESS</x:v>
      </x:c>
      <x:c r="E20" s="3" t="str">
        <x:v>Regression</x:v>
      </x:c>
      <x:c r="F20" s="3" t="str">
        <x:v>Integration</x:v>
      </x:c>
      <x:c r="G20" s="3" t="str">
        <x:v>Source</x:v>
      </x:c>
      <x:c r="H20" s="3" t="str">
        <x:v>User A, DS-CART và DS-PROFILE; fixture DS-CHECKOUT; create checkout hiện mock local. Test persistence backend cần contract checkout thật.</x:v>
      </x:c>
      <x:c r="I20" s="3" t="str">
        <x:v>SG +65 88009900 -&gt; VN -&gt; MY</x:v>
      </x:c>
      <x:c r="J20" s="3" t="str">
        <x:v>1. Chọn Vietnam ở country.
2. Chọn Malaysia ở picker mã gọi.</x:v>
      </x:c>
      <x:c r="K20" s="3" t="str">
        <x:v>Hai picker đồng bộ VN/+84 rồi MY/+60; giữ national number88009900; stored phone chỉ có một prefix.</x:v>
      </x:c>
      <x:c r="L20" s="3" t="str">
        <x:v>src/features/checkout/components/address-fields.tsx:12</x:v>
      </x:c>
      <x:c r="M20" s="3" t="str">
        <x:v>Đề xuất Integration | Test liên quan, chưa xác nhận phủ ca: src/features/checkout/components/address-fields.test.tsx</x:v>
      </x:c>
      <x:c r="N20" s="10" t="str">
        <x:v>Pass</x:v>
      </x:c>
      <x:c r="O20" s="10" t="str">
        <x:v>Thay country hoặc calling code giữ national number và đồng bộ cả hai picker.</x:v>
      </x:c>
      <x:c r="P20" s="10" t="str">
        <x:v>execution/results.json → CHK-016
execution/assertions.json</x:v>
      </x:c>
      <x:c r="Q20" s="10" t="str">
        <x:v>Codex — local automated QA</x:v>
      </x:c>
      <x:c r="R20" s="11" t="d">
        <x:v>2026-10-18T05:30:31.999Z</x:v>
      </x:c>
    </x:row>
    <x:row r="21" ht="94" customHeight="1">
      <x:c r="A21" s="3" t="str">
        <x:v>CHK-017</x:v>
      </x:c>
      <x:c r="B21" s="3" t="str">
        <x:v>Số quốc tế không có khoảng cách</x:v>
      </x:c>
      <x:c r="C21" s="3" t="str">
        <x:v>P1</x:v>
      </x:c>
      <x:c r="D21" s="3" t="str">
        <x:v>CHK.ADDRESS</x:v>
      </x:c>
      <x:c r="E21" s="3" t="str">
        <x:v>Boundary</x:v>
      </x:c>
      <x:c r="F21" s="3" t="str">
        <x:v>Integration</x:v>
      </x:c>
      <x:c r="G21" s="3" t="str">
        <x:v>Quality target</x:v>
      </x:c>
      <x:c r="H21" s="3" t="str">
        <x:v>User A, DS-CART và DS-PROFILE; fixture DS-CHECKOUT; create checkout hiện mock local. Test persistence backend cần contract checkout thật.</x:v>
      </x:c>
      <x:c r="I21" s="3" t="str">
        <x:v>phone=+84901234567; country=SG hoặc country unknown</x:v>
      </x:c>
      <x:c r="J21" s="3" t="str">
        <x:v>1. Prefill không khớp prefix.
2. Đổi country.</x:v>
      </x:c>
      <x:c r="K21" s="3" t="str">
        <x:v>Không cắt mất chữ số national khi đoán dial code; không ghép hai prefix. Cần kiểm chứng regex getNationalPhone với số dính.</x:v>
      </x:c>
      <x:c r="L21" s="3" t="str">
        <x:v>src/features/checkout/components/address-fields.tsx:12</x:v>
      </x:c>
      <x:c r="M21" s="3" t="str">
        <x:v>Đề xuất Integration | Test liên quan, chưa xác nhận phủ ca: src/features/checkout/components/address-fields.test.tsx</x:v>
      </x:c>
      <x:c r="N21" s="10" t="str">
        <x:v>Pass</x:v>
      </x:c>
      <x:c r="O21" s="10" t="str">
        <x:v>Assertion gắn ID đã pass qua UI/service boundary hoặc rule tương ứng; xem tên assertion trong assertions.json.</x:v>
      </x:c>
      <x:c r="P21" s="10" t="str">
        <x:v>FIX-08
execution/results.json → CHK-017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CHK-018</x:v>
      </x:c>
      <x:c r="B22" s="3" t="str">
        <x:v>Billing giống delivery</x:v>
      </x:c>
      <x:c r="C22" s="3" t="str">
        <x:v>P1</x:v>
      </x:c>
      <x:c r="D22" s="3" t="str">
        <x:v>CHK.BILLING</x:v>
      </x:c>
      <x:c r="E22" s="3" t="str">
        <x:v>Functional</x:v>
      </x:c>
      <x:c r="F22" s="3" t="str">
        <x:v>Integration</x:v>
      </x:c>
      <x:c r="G22" s="3" t="str">
        <x:v>Source</x:v>
      </x:c>
      <x:c r="H22" s="3" t="str">
        <x:v>User A, DS-CART và DS-PROFILE; fixture DS-CHECKOUT; create checkout hiện mock local. Test persistence backend cần contract checkout thật.</x:v>
      </x:c>
      <x:c r="I22" s="3" t="str">
        <x:v>same=true; sửa delivery</x:v>
      </x:c>
      <x:c r="J22" s="3" t="str">
        <x:v>1. Giữ checkbox bật.
2. Sửa delivery và submit.</x:v>
      </x:c>
      <x:c r="K22" s="3" t="str">
        <x:v>Không yêu cầu hidden billing fields; contract giao dịch phải dùng delivery mới làm billing khi same=true.</x:v>
      </x:c>
      <x:c r="L22" s="3" t="str">
        <x:v>src/features/checkout/components/billing-section.tsx:10
src/features/checkout/schemas/checkout.schema.ts:5</x:v>
      </x:c>
      <x:c r="M22" s="3" t="str">
        <x:v>Đề xuất Integration | Test liên quan, chưa xác nhận phủ ca: src/features/checkout/schemas/checkout.schema.test.ts</x:v>
      </x:c>
      <x:c r="N22" s="10" t="str">
        <x:v>Not run</x:v>
      </x:c>
      <x:c r="O22" s="10" t="str">
        <x:v>MỘT PHẦN: Đã kiểm tra billing schema và duplicate submit với paynow; chưa chạy đủ các nhánh UI/navigation/error của ca.</x:v>
      </x:c>
      <x:c r="P22" s="10" t="str">
        <x:v>execution/results.json → CHK-018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CHK-019</x:v>
      </x:c>
      <x:c r="B23" s="3" t="str">
        <x:v>Billing khác delivery</x:v>
      </x:c>
      <x:c r="C23" s="3" t="str">
        <x:v>P1</x:v>
      </x:c>
      <x:c r="D23" s="3" t="str">
        <x:v>CHK.BILLING</x:v>
      </x:c>
      <x:c r="E23" s="3" t="str">
        <x:v>Boundary</x:v>
      </x:c>
      <x:c r="F23" s="3" t="str">
        <x:v>Integration</x:v>
      </x:c>
      <x:c r="G23" s="3" t="str">
        <x:v>Source</x:v>
      </x:c>
      <x:c r="H23" s="3" t="str">
        <x:v>User A, DS-CART và DS-PROFILE; fixture DS-CHECKOUT; create checkout hiện mock local. Test persistence backend cần contract checkout thật.</x:v>
      </x:c>
      <x:c r="I23" s="3" t="str">
        <x:v>same=false; billingAddress rỗng/7/8; postal5/6</x:v>
      </x:c>
      <x:c r="J23" s="3" t="str">
        <x:v>1. Bỏ checkbox.
2. Submit thiếu, rồi sửa đủ.</x:v>
      </x:c>
      <x:c r="K23" s="3" t="str">
        <x:v>Hiện hai field; chỉ cho submit khi address&gt;=8 và postal6 số; lỗi tại billing field, không mất delivery.</x:v>
      </x:c>
      <x:c r="L23" s="3" t="str">
        <x:v>src/features/checkout/components/billing-section.tsx:10
src/features/checkout/schemas/checkout.schema.ts:5</x:v>
      </x:c>
      <x:c r="M23" s="3" t="str">
        <x:v>Đề xuất Integration | Test liên quan, chưa xác nhận phủ ca: src/features/checkout/schemas/checkout.schema.test.ts</x:v>
      </x:c>
      <x:c r="N23" s="10" t="str">
        <x:v>Not run</x:v>
      </x:c>
      <x:c r="O23" s="10" t="str">
        <x:v>MỘT PHẦN: Đã kiểm tra billing schema và duplicate submit với paynow; chưa chạy đủ các nhánh UI/navigation/error của ca.</x:v>
      </x:c>
      <x:c r="P23" s="10" t="str">
        <x:v>execution/results.json → CHK-019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CHK-020</x:v>
      </x:c>
      <x:c r="B24" s="3" t="str">
        <x:v>Hai phương thức và navigation</x:v>
      </x:c>
      <x:c r="C24" s="3" t="str">
        <x:v>P0</x:v>
      </x:c>
      <x:c r="D24" s="3" t="str">
        <x:v>CHK.PAYMENT</x:v>
      </x:c>
      <x:c r="E24" s="3" t="str">
        <x:v>Functional</x:v>
      </x:c>
      <x:c r="F24" s="3" t="str">
        <x:v>Integration</x:v>
      </x:c>
      <x:c r="G24" s="3" t="str">
        <x:v>Source</x:v>
      </x:c>
      <x:c r="H24" s="3" t="str">
        <x:v>User A, DS-CART và DS-PROFILE; fixture DS-CHECKOUT; create checkout hiện mock local. Test persistence backend cần contract checkout thật.</x:v>
      </x:c>
      <x:c r="I24" s="3" t="str">
        <x:v>paynow, bank-transfer; response PAY-ABC12345/4905</x:v>
      </x:c>
      <x:c r="J24" s="3" t="str">
        <x:v>1. Chọn từng phương thức.
2. Make payment.</x:v>
      </x:c>
      <x:c r="K24" s="3" t="str">
        <x:v>Một create call với checkout/items/UUID; thành công đi /payment?method=...&amp;reference=...&amp;amount=... theo response, giữ locale.</x:v>
      </x:c>
      <x:c r="L24" s="3" t="str">
        <x:v>src/features/checkout/components/checkout-screen.tsx:29
src/features/checkout/components/payment-method-section.tsx:17</x:v>
      </x:c>
      <x:c r="M24" s="3" t="str">
        <x:v>Đề xuất Integration | Test liên quan, chưa xác nhận phủ ca: src/features/checkout/components/checkout-screen.test.tsx</x:v>
      </x:c>
      <x:c r="N24" s="10" t="str">
        <x:v>Not run</x:v>
      </x:c>
      <x:c r="O24" s="10" t="str">
        <x:v>MỘT PHẦN: Đã kiểm tra billing schema và duplicate submit với paynow; chưa chạy đủ các nhánh UI/navigation/error của ca.</x:v>
      </x:c>
      <x:c r="P24" s="10" t="str">
        <x:v>execution/results.json → CHK-020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CHK-021</x:v>
      </x:c>
      <x:c r="B25" s="3" t="str">
        <x:v>Chặn duplicate và phục hồi lỗi</x:v>
      </x:c>
      <x:c r="C25" s="3" t="str">
        <x:v>P1</x:v>
      </x:c>
      <x:c r="D25" s="3" t="str">
        <x:v>CHK.SUBMIT</x:v>
      </x:c>
      <x:c r="E25" s="3" t="str">
        <x:v>Concurrency</x:v>
      </x:c>
      <x:c r="F25" s="3" t="str">
        <x:v>Integration</x:v>
      </x:c>
      <x:c r="G25" s="3" t="str">
        <x:v>Source</x:v>
      </x:c>
      <x:c r="H25" s="3" t="str">
        <x:v>User A, DS-CART và DS-PROFILE; fixture DS-CHECKOUT; create checkout hiện mock local. Test persistence backend cần contract checkout thật.</x:v>
      </x:c>
      <x:c r="I25" s="3" t="str">
        <x:v>create pending rồi reject</x:v>
      </x:c>
      <x:c r="J25" s="3" t="str">
        <x:v>1. Double click Make payment.
2. Trả lỗi.
3. Submit lại.</x:v>
      </x:c>
      <x:c r="K25" s="3" t="str">
        <x:v>Một mutation khi pending; disabled; lỗi không điều hướng; mở lại submit sau failure.</x:v>
      </x:c>
      <x:c r="L25" s="3" t="str">
        <x:v>src/features/checkout/components/checkout-screen.tsx:29</x:v>
      </x:c>
      <x:c r="M25" s="3" t="str">
        <x:v>Đề xuất Integration | Test liên quan, chưa xác nhận phủ ca: src/features/checkout/components/checkout-screen.test.tsx</x:v>
      </x:c>
      <x:c r="N25" s="10" t="str">
        <x:v>Not run</x:v>
      </x:c>
      <x:c r="O25" s="10" t="str">
        <x:v>MỘT PHẦN: Đã kiểm tra billing schema và duplicate submit với paynow; chưa chạy đủ các nhánh UI/navigation/error của ca.</x:v>
      </x:c>
      <x:c r="P25" s="10" t="str">
        <x:v>execution/results.json → CHK-021
execution/assertions.json</x:v>
      </x:c>
      <x:c r="Q25" s="10" t="str">
        <x:v>Codex — local automated QA</x:v>
      </x:c>
      <x:c r="R25" s="11" t="d">
        <x:v>2026-10-18T05:30:31.999Z</x:v>
      </x:c>
    </x:row>
    <x:row r="26" ht="106" customHeight="1">
      <x:c r="A26" s="3" t="str">
        <x:v>CHK-022</x:v>
      </x:c>
      <x:c r="B26" s="3" t="str">
        <x:v>Create checkout phải được backend xác nhận</x:v>
      </x:c>
      <x:c r="C26" s="3" t="str">
        <x:v>P0</x:v>
      </x:c>
      <x:c r="D26" s="3" t="str">
        <x:v>CHK.INTEGRATION</x:v>
      </x:c>
      <x:c r="E26" s="3" t="str">
        <x:v>Functional</x:v>
      </x:c>
      <x:c r="F26" s="3" t="str">
        <x:v>API + E2E</x:v>
      </x:c>
      <x:c r="G26" s="3" t="str">
        <x:v>Integration contract</x:v>
      </x:c>
      <x:c r="H26" s="3" t="str">
        <x:v>User A, DS-CART và DS-PROFILE; fixture DS-CHECKOUT; create checkout hiện mock local. Test persistence backend cần contract checkout thật.</x:v>
      </x:c>
      <x:c r="I26" s="3" t="str">
        <x:v>Giỏ hợp lệ; cần endpoint/payload được backend cung cấp</x:v>
      </x:c>
      <x:c r="J26" s="3" t="str">
        <x:v>1. Submit checkout trên sandbox tích hợp.
2. Kiểm tra network và record backend.</x:v>
      </x:c>
      <x:c r="K26" s="3" t="str">
        <x:v>Backend tính lại giá/stock/tax và tạo phiên gắn user/items; chỉ chuyển payment sau success thật; retry cùng ý định không tạo phiên trùng.
Dependency / lưu ý: BLOCKER: checkoutService.create hiện chỉ đợi550ms và trả reference/amount local; không có endpoint thật.</x:v>
      </x:c>
      <x:c r="L26" s="3" t="str">
        <x:v>src/features/checkout/api/checkout.service.ts:17</x:v>
      </x:c>
      <x:c r="M26" s="3" t="str">
        <x:v>Đề xuất API + E2E | Chưa có test đồng vị trí cho hành vi này</x:v>
      </x:c>
      <x:c r="N26" s="10" t="str">
        <x:v>Blocked</x:v>
      </x:c>
      <x:c r="O26" s="10" t="str">
        <x:v>checkout/payment/quote/contact submit trong source vẫn là mock local; thiếu API contract/endpoint và sandbox để chứng minh lưu dữ liệu, xác thực thanh toán, idempotency và email thật.</x:v>
      </x:c>
      <x:c r="P26" s="10" t="str">
        <x:v>execution/results.json → CHK-022
execution/assertions.json</x:v>
      </x:c>
      <x:c r="Q26" s="10" t="str">
        <x:v>Codex — local automated QA</x:v>
      </x:c>
      <x:c r="R26" s="11"/>
    </x:row>
  </x:sheetData>
  <x:conditionalFormatting sqref="N5:N26">
    <x:cfRule type="containsText" dxfId="15" priority="1" operator="containsText" text="Fail"/>
    <x:cfRule type="containsText" dxfId="16" priority="2" operator="containsText" text="Blocked"/>
  </x:conditionalFormatting>
  <x:conditionalFormatting sqref="C5:C26">
    <x:cfRule type="containsText" dxfId="17" priority="3" operator="containsText" text="P0"/>
  </x:conditionalFormatting>
  <x:dataValidations count="1">
    <x:dataValidation type="list" sqref="N5:N2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cbcd920e34b5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PAY — Thanh toán và trang thành công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PAY-001</x:v>
      </x:c>
      <x:c r="B5" s="3" t="str">
        <x:v>URL payment hợp lệ</x:v>
      </x:c>
      <x:c r="C5" s="3" t="str">
        <x:v>P1</x:v>
      </x:c>
      <x:c r="D5" s="3" t="str">
        <x:v>PAY.URL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DS-PAYMENT sandbox; chưa thu tiền thật. Frontend dùng service stub; hoàn tất tích hợp cần provider/backend xác nhận giao dịch.</x:v>
      </x:c>
      <x:c r="I5" s="3" t="str">
        <x:v>method=paynow; reference=PAY-ABC12345; amount=4905</x:v>
      </x:c>
      <x:c r="J5" s="3" t="str">
        <x:v>1. Mở URL hợp lệ.</x:v>
      </x:c>
      <x:c r="K5" s="3" t="str">
        <x:v>Hiển thị method, QR, reference và amount từ tham số; đây là test render, chưa chứng minh đã tạo giao dịch backend.</x:v>
      </x:c>
      <x:c r="L5" s="3" t="str">
        <x:v>src/app/[locale]/(marketing)/payment/page.tsx:7</x:v>
      </x:c>
      <x:c r="M5" s="3" t="str">
        <x:v>Đề xuất Integration | Chưa có test đồng vị trí cho hành vi này</x:v>
      </x:c>
      <x:c r="N5" s="10" t="str">
        <x:v>Pass</x:v>
      </x:c>
      <x:c r="O5" s="10" t="str">
        <x:v>Assertion gắn ID đã pass qua UI/service boundary hoặc rule tương ứng; xem tên assertion trong assertions.json.</x:v>
      </x:c>
      <x:c r="P5" s="10" t="str">
        <x:v>execution/results.json → PAY-001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PAY-002</x:v>
      </x:c>
      <x:c r="B6" s="3" t="str">
        <x:v>Chặn payment URL: reference thiếu</x:v>
      </x:c>
      <x:c r="C6" s="3" t="str">
        <x:v>P1</x:v>
      </x:c>
      <x:c r="D6" s="3" t="str">
        <x:v>PAY.URL</x:v>
      </x:c>
      <x:c r="E6" s="3" t="str">
        <x:v>Boundary</x:v>
      </x:c>
      <x:c r="F6" s="3" t="str">
        <x:v>Integration</x:v>
      </x:c>
      <x:c r="G6" s="3" t="str">
        <x:v>Source</x:v>
      </x:c>
      <x:c r="H6" s="3" t="str">
        <x:v>DS-PAYMENT sandbox; chưa thu tiền thật. Frontend dùng service stub; hoàn tất tích hợp cần provider/backend xác nhận giao dịch.</x:v>
      </x:c>
      <x:c r="I6" s="3" t="str">
        <x:v>reference thiếu</x:v>
      </x:c>
      <x:c r="J6" s="3" t="str">
        <x:v>1. Giữ tham số còn lại hợp lệ.
2. Mở /payment.</x:v>
      </x:c>
      <x:c r="K6" s="3" t="str">
        <x:v>Redirect /checkout, giữ locale; không hiển thị QR cho dữ liệu không hợp lệ.</x:v>
      </x:c>
      <x:c r="L6" s="3" t="str">
        <x:v>src/app/[locale]/(marketing)/payment/page.tsx:7</x:v>
      </x:c>
      <x:c r="M6" s="3" t="str">
        <x:v>Đề xuất Integration | Chưa có test đồng vị trí cho hành vi này</x:v>
      </x:c>
      <x:c r="N6" s="10" t="str">
        <x:v>Pass</x:v>
      </x:c>
      <x:c r="O6" s="10" t="str">
        <x:v>Assertion gắn ID đã pass qua UI/service boundary hoặc rule tương ứng; xem tên assertion trong assertions.json.</x:v>
      </x:c>
      <x:c r="P6" s="10" t="str">
        <x:v>execution/results.json → PAY-002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PAY-003</x:v>
      </x:c>
      <x:c r="B7" s="3" t="str">
        <x:v>Chặn payment URL: reference=PAY-abc12345</x:v>
      </x:c>
      <x:c r="C7" s="3" t="str">
        <x:v>P1</x:v>
      </x:c>
      <x:c r="D7" s="3" t="str">
        <x:v>PAY.URL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DS-PAYMENT sandbox; chưa thu tiền thật. Frontend dùng service stub; hoàn tất tích hợp cần provider/backend xác nhận giao dịch.</x:v>
      </x:c>
      <x:c r="I7" s="3" t="str">
        <x:v>reference=PAY-abc12345</x:v>
      </x:c>
      <x:c r="J7" s="3" t="str">
        <x:v>1. Giữ tham số còn lại hợp lệ.
2. Mở /payment.</x:v>
      </x:c>
      <x:c r="K7" s="3" t="str">
        <x:v>Redirect /checkout, giữ locale; không hiển thị QR cho dữ liệu không hợp lệ.</x:v>
      </x:c>
      <x:c r="L7" s="3" t="str">
        <x:v>src/app/[locale]/(marketing)/payment/page.tsx:7</x:v>
      </x:c>
      <x:c r="M7" s="3" t="str">
        <x:v>Đề xuất Integration | Chưa có test đồng vị trí cho hành vi này</x:v>
      </x:c>
      <x:c r="N7" s="10" t="str">
        <x:v>Pass</x:v>
      </x:c>
      <x:c r="O7" s="10" t="str">
        <x:v>Assertion gắn ID đã pass qua UI/service boundary hoặc rule tương ứng; xem tên assertion trong assertions.json.</x:v>
      </x:c>
      <x:c r="P7" s="10" t="str">
        <x:v>execution/results.json → PAY-003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PAY-004</x:v>
      </x:c>
      <x:c r="B8" s="3" t="str">
        <x:v>Chặn payment URL: reference=PAY-ABC1234</x:v>
      </x:c>
      <x:c r="C8" s="3" t="str">
        <x:v>P1</x:v>
      </x:c>
      <x:c r="D8" s="3" t="str">
        <x:v>PAY.URL</x:v>
      </x:c>
      <x:c r="E8" s="3" t="str">
        <x:v>Boundary</x:v>
      </x:c>
      <x:c r="F8" s="3" t="str">
        <x:v>Integration</x:v>
      </x:c>
      <x:c r="G8" s="3" t="str">
        <x:v>Source</x:v>
      </x:c>
      <x:c r="H8" s="3" t="str">
        <x:v>DS-PAYMENT sandbox; chưa thu tiền thật. Frontend dùng service stub; hoàn tất tích hợp cần provider/backend xác nhận giao dịch.</x:v>
      </x:c>
      <x:c r="I8" s="3" t="str">
        <x:v>reference=PAY-ABC1234</x:v>
      </x:c>
      <x:c r="J8" s="3" t="str">
        <x:v>1. Giữ tham số còn lại hợp lệ.
2. Mở /payment.</x:v>
      </x:c>
      <x:c r="K8" s="3" t="str">
        <x:v>Redirect /checkout, giữ locale; không hiển thị QR cho dữ liệu không hợp lệ.</x:v>
      </x:c>
      <x:c r="L8" s="3" t="str">
        <x:v>src/app/[locale]/(marketing)/payment/page.tsx:7</x:v>
      </x:c>
      <x:c r="M8" s="3" t="str">
        <x:v>Đề xuất Integration | Chưa có test đồng vị trí cho hành vi này</x:v>
      </x:c>
      <x:c r="N8" s="10" t="str">
        <x:v>Pass</x:v>
      </x:c>
      <x:c r="O8" s="10" t="str">
        <x:v>Assertion gắn ID đã pass qua UI/service boundary hoặc rule tương ứng; xem tên assertion trong assertions.json.</x:v>
      </x:c>
      <x:c r="P8" s="10" t="str">
        <x:v>execution/results.json → PAY-004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PAY-005</x:v>
      </x:c>
      <x:c r="B9" s="3" t="str">
        <x:v>Chặn payment URL: amount=0</x:v>
      </x:c>
      <x:c r="C9" s="3" t="str">
        <x:v>P1</x:v>
      </x:c>
      <x:c r="D9" s="3" t="str">
        <x:v>PAY.URL</x:v>
      </x:c>
      <x:c r="E9" s="3" t="str">
        <x:v>Boundary</x:v>
      </x:c>
      <x:c r="F9" s="3" t="str">
        <x:v>Integration</x:v>
      </x:c>
      <x:c r="G9" s="3" t="str">
        <x:v>Source</x:v>
      </x:c>
      <x:c r="H9" s="3" t="str">
        <x:v>DS-PAYMENT sandbox; chưa thu tiền thật. Frontend dùng service stub; hoàn tất tích hợp cần provider/backend xác nhận giao dịch.</x:v>
      </x:c>
      <x:c r="I9" s="3" t="str">
        <x:v>amount=0</x:v>
      </x:c>
      <x:c r="J9" s="3" t="str">
        <x:v>1. Giữ tham số còn lại hợp lệ.
2. Mở /payment.</x:v>
      </x:c>
      <x:c r="K9" s="3" t="str">
        <x:v>Redirect /checkout, giữ locale; không hiển thị QR cho dữ liệu không hợp lệ.</x:v>
      </x:c>
      <x:c r="L9" s="3" t="str">
        <x:v>src/app/[locale]/(marketing)/payment/page.tsx:7</x:v>
      </x:c>
      <x:c r="M9" s="3" t="str">
        <x:v>Đề xuất Integration | Chưa có test đồng vị trí cho hành vi này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execution/results.json → PAY-005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PAY-006</x:v>
      </x:c>
      <x:c r="B10" s="3" t="str">
        <x:v>Chặn payment URL: amount=-1</x:v>
      </x:c>
      <x:c r="C10" s="3" t="str">
        <x:v>P1</x:v>
      </x:c>
      <x:c r="D10" s="3" t="str">
        <x:v>PAY.URL</x:v>
      </x:c>
      <x:c r="E10" s="3" t="str">
        <x:v>Boundary</x:v>
      </x:c>
      <x:c r="F10" s="3" t="str">
        <x:v>Integration</x:v>
      </x:c>
      <x:c r="G10" s="3" t="str">
        <x:v>Source</x:v>
      </x:c>
      <x:c r="H10" s="3" t="str">
        <x:v>DS-PAYMENT sandbox; chưa thu tiền thật. Frontend dùng service stub; hoàn tất tích hợp cần provider/backend xác nhận giao dịch.</x:v>
      </x:c>
      <x:c r="I10" s="3" t="str">
        <x:v>amount=-1</x:v>
      </x:c>
      <x:c r="J10" s="3" t="str">
        <x:v>1. Giữ tham số còn lại hợp lệ.
2. Mở /payment.</x:v>
      </x:c>
      <x:c r="K10" s="3" t="str">
        <x:v>Redirect /checkout, giữ locale; không hiển thị QR cho dữ liệu không hợp lệ.</x:v>
      </x:c>
      <x:c r="L10" s="3" t="str">
        <x:v>src/app/[locale]/(marketing)/payment/page.tsx:7</x:v>
      </x:c>
      <x:c r="M10" s="3" t="str">
        <x:v>Đề xuất Integration | Chưa có test đồng vị trí cho hành vi này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PAY-006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PAY-007</x:v>
      </x:c>
      <x:c r="B11" s="3" t="str">
        <x:v>Chặn payment URL: amount=NaN</x:v>
      </x:c>
      <x:c r="C11" s="3" t="str">
        <x:v>P1</x:v>
      </x:c>
      <x:c r="D11" s="3" t="str">
        <x:v>PAY.URL</x:v>
      </x:c>
      <x:c r="E11" s="3" t="str">
        <x:v>Boundary</x:v>
      </x:c>
      <x:c r="F11" s="3" t="str">
        <x:v>Integration</x:v>
      </x:c>
      <x:c r="G11" s="3" t="str">
        <x:v>Source</x:v>
      </x:c>
      <x:c r="H11" s="3" t="str">
        <x:v>DS-PAYMENT sandbox; chưa thu tiền thật. Frontend dùng service stub; hoàn tất tích hợp cần provider/backend xác nhận giao dịch.</x:v>
      </x:c>
      <x:c r="I11" s="3" t="str">
        <x:v>amount=NaN</x:v>
      </x:c>
      <x:c r="J11" s="3" t="str">
        <x:v>1. Giữ tham số còn lại hợp lệ.
2. Mở /payment.</x:v>
      </x:c>
      <x:c r="K11" s="3" t="str">
        <x:v>Redirect /checkout, giữ locale; không hiển thị QR cho dữ liệu không hợp lệ.</x:v>
      </x:c>
      <x:c r="L11" s="3" t="str">
        <x:v>src/app/[locale]/(marketing)/payment/page.tsx:7</x:v>
      </x:c>
      <x:c r="M11" s="3" t="str">
        <x:v>Đề xuất Integration | Chưa có test đồng vị trí cho hành vi này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PAY-007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PAY-008</x:v>
      </x:c>
      <x:c r="B12" s="3" t="str">
        <x:v>Chặn payment URL: amount=Infinity</x:v>
      </x:c>
      <x:c r="C12" s="3" t="str">
        <x:v>P1</x:v>
      </x:c>
      <x:c r="D12" s="3" t="str">
        <x:v>PAY.URL</x:v>
      </x:c>
      <x:c r="E12" s="3" t="str">
        <x:v>Boundary</x:v>
      </x:c>
      <x:c r="F12" s="3" t="str">
        <x:v>Integration</x:v>
      </x:c>
      <x:c r="G12" s="3" t="str">
        <x:v>Source</x:v>
      </x:c>
      <x:c r="H12" s="3" t="str">
        <x:v>DS-PAYMENT sandbox; chưa thu tiền thật. Frontend dùng service stub; hoàn tất tích hợp cần provider/backend xác nhận giao dịch.</x:v>
      </x:c>
      <x:c r="I12" s="3" t="str">
        <x:v>amount=Infinity</x:v>
      </x:c>
      <x:c r="J12" s="3" t="str">
        <x:v>1. Giữ tham số còn lại hợp lệ.
2. Mở /payment.</x:v>
      </x:c>
      <x:c r="K12" s="3" t="str">
        <x:v>Redirect /checkout, giữ locale; không hiển thị QR cho dữ liệu không hợp lệ.</x:v>
      </x:c>
      <x:c r="L12" s="3" t="str">
        <x:v>src/app/[locale]/(marketing)/payment/page.tsx:7</x:v>
      </x:c>
      <x:c r="M12" s="3" t="str">
        <x:v>Đề xuất Integration | Chưa có test đồng vị trí cho hành vi này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PAY-008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PAY-009</x:v>
      </x:c>
      <x:c r="B13" s="3" t="str">
        <x:v>Chặn payment URL: amount thiếu</x:v>
      </x:c>
      <x:c r="C13" s="3" t="str">
        <x:v>P1</x:v>
      </x:c>
      <x:c r="D13" s="3" t="str">
        <x:v>PAY.URL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DS-PAYMENT sandbox; chưa thu tiền thật. Frontend dùng service stub; hoàn tất tích hợp cần provider/backend xác nhận giao dịch.</x:v>
      </x:c>
      <x:c r="I13" s="3" t="str">
        <x:v>amount thiếu</x:v>
      </x:c>
      <x:c r="J13" s="3" t="str">
        <x:v>1. Giữ tham số còn lại hợp lệ.
2. Mở /payment.</x:v>
      </x:c>
      <x:c r="K13" s="3" t="str">
        <x:v>Redirect /checkout, giữ locale; không hiển thị QR cho dữ liệu không hợp lệ.</x:v>
      </x:c>
      <x:c r="L13" s="3" t="str">
        <x:v>src/app/[locale]/(marketing)/payment/page.tsx:7</x:v>
      </x:c>
      <x:c r="M13" s="3" t="str">
        <x:v>Đề xuất Integration | Chưa có test đồng vị trí cho hành vi này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PAY-009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PAY-010</x:v>
      </x:c>
      <x:c r="B14" s="3" t="str">
        <x:v>Method thiếu hoặc không được hỗ trợ</x:v>
      </x:c>
      <x:c r="C14" s="3" t="str">
        <x:v>P1</x:v>
      </x:c>
      <x:c r="D14" s="3" t="str">
        <x:v>PAY.METHOD</x:v>
      </x:c>
      <x:c r="E14" s="3" t="str">
        <x:v>Boundary</x:v>
      </x:c>
      <x:c r="F14" s="3" t="str">
        <x:v>Integration</x:v>
      </x:c>
      <x:c r="G14" s="3" t="str">
        <x:v>Source</x:v>
      </x:c>
      <x:c r="H14" s="3" t="str">
        <x:v>DS-PAYMENT sandbox; chưa thu tiền thật. Frontend dùng service stub; hoàn tất tích hợp cần provider/backend xác nhận giao dịch.</x:v>
      </x:c>
      <x:c r="I14" s="3" t="str">
        <x:v>method=card hoặc bỏ method</x:v>
      </x:c>
      <x:c r="J14" s="3" t="str">
        <x:v>1. Mở URL với reference/amount hợp lệ.</x:v>
      </x:c>
      <x:c r="K14" s="3" t="str">
        <x:v>Source fallback paynow; không crash. Phương thức mới cần contract, không tự gửi tới Stripe.</x:v>
      </x:c>
      <x:c r="L14" s="3" t="str">
        <x:v>src/features/checkout/components/payment-screen.tsx:23</x:v>
      </x:c>
      <x:c r="M14" s="3" t="str">
        <x:v>Đề xuất Integration | Test liên quan, chưa xác nhận phủ ca: src/features/checkout/components/payment-screen.test.tsx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PAY-010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PAY-011</x:v>
      </x:c>
      <x:c r="B15" s="3" t="str">
        <x:v>Bank transfer</x:v>
      </x:c>
      <x:c r="C15" s="3" t="str">
        <x:v>P0</x:v>
      </x:c>
      <x:c r="D15" s="3" t="str">
        <x:v>PAY.METHOD</x:v>
      </x:c>
      <x:c r="E15" s="3" t="str">
        <x:v>Functional</x:v>
      </x:c>
      <x:c r="F15" s="3" t="str">
        <x:v>Integration</x:v>
      </x:c>
      <x:c r="G15" s="3" t="str">
        <x:v>Integration contract</x:v>
      </x:c>
      <x:c r="H15" s="3" t="str">
        <x:v>DS-PAYMENT sandbox; chưa thu tiền thật. Frontend dùng service stub; hoàn tất tích hợp cần provider/backend xác nhận giao dịch.</x:v>
      </x:c>
      <x:c r="I15" s="3" t="str">
        <x:v>method=bank-transfer</x:v>
      </x:c>
      <x:c r="J15" s="3" t="str">
        <x:v>1. Mở payment.
2. Đối chiếu chỉ dẫn và beneficiary với cấu hình backend.</x:v>
      </x:c>
      <x:c r="K15" s="3" t="str">
        <x:v>Hiện Bank transfer; thông tin tài khoản và QR phải khớp giao dịch sandbox. QR/static i-DNA hiện tại chưa chứng minh có thể thanh toán thực.</x:v>
      </x:c>
      <x:c r="L15" s="3" t="str">
        <x:v>src/features/checkout/components/payment-screen.tsx:23</x:v>
      </x:c>
      <x:c r="M15" s="3" t="str">
        <x:v>Đề xuất Integration | Test liên quan, chưa xác nhận phủ ca: src/features/checkout/components/payment-screen.test.tsx</x:v>
      </x:c>
      <x:c r="N15" s="10" t="str">
        <x:v>Not run</x:v>
      </x:c>
      <x:c r="O15" s="10" t="str">
        <x:v>Chưa thực thi đầy đủ các bước/expected của ca. Các test liên quan đã chạy, nhưng chưa có assertion đủ để gán Pass.</x:v>
      </x:c>
      <x:c r="P15" s="10" t="str">
        <x:v>execution/results.json → PAY-011
execution/assertions.json</x:v>
      </x:c>
      <x:c r="Q15" s="10" t="str"/>
      <x:c r="R15" s="11"/>
    </x:row>
    <x:row r="16" ht="94" customHeight="1">
      <x:c r="A16" s="3" t="str">
        <x:v>PAY-012</x:v>
      </x:c>
      <x:c r="B16" s="3" t="str">
        <x:v>Hoàn tất frontend thành công</x:v>
      </x:c>
      <x:c r="C16" s="3" t="str">
        <x:v>P1</x:v>
      </x:c>
      <x:c r="D16" s="3" t="str">
        <x:v>PAY.COMPLETE</x:v>
      </x:c>
      <x:c r="E16" s="3" t="str">
        <x:v>Functional</x:v>
      </x:c>
      <x:c r="F16" s="3" t="str">
        <x:v>Integration</x:v>
      </x:c>
      <x:c r="G16" s="3" t="str">
        <x:v>Source</x:v>
      </x:c>
      <x:c r="H16" s="3" t="str">
        <x:v>DS-PAYMENT sandbox; chưa thu tiền thật. Frontend dùng service stub; hoàn tất tích hợp cần provider/backend xác nhận giao dịch.</x:v>
      </x:c>
      <x:c r="I16" s="3" t="str">
        <x:v>completePayment stub trả orderId=OR-3000,paid</x:v>
      </x:c>
      <x:c r="J16" s="3" t="str">
        <x:v>1. Click I have completed payment.
2. Resolve stub.</x:v>
      </x:c>
      <x:c r="K16" s="3" t="str">
        <x:v>Gửi method/reference; button pending; chỉ sau success đi /payment/success?orderId=...&amp;amount=...; không suy ra tiền đã vào tài khoản từ stub.</x:v>
      </x:c>
      <x:c r="L16" s="3" t="str">
        <x:v>src/features/checkout/components/payment-screen.tsx:23
src/features/checkout/api/checkout.service.ts:17</x:v>
      </x:c>
      <x:c r="M16" s="3" t="str">
        <x:v>Đề xuất Integration | Test liên quan, chưa xác nhận phủ ca: src/features/checkout/components/payment-screen.test.tsx</x:v>
      </x:c>
      <x:c r="N16" s="10" t="str">
        <x:v>Pass</x:v>
      </x:c>
      <x:c r="O16" s="10" t="str">
        <x:v>Frontend chuyển success URL với orderId nhận từ service spy. Kết quả chỉ áp dụng frontend, không chứng minh đã thanh toán.</x:v>
      </x:c>
      <x:c r="P16" s="10" t="str">
        <x:v>execution/results.json → PAY-012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PAY-013</x:v>
      </x:c>
      <x:c r="B17" s="3" t="str">
        <x:v>Duplicate và failure</x:v>
      </x:c>
      <x:c r="C17" s="3" t="str">
        <x:v>P0</x:v>
      </x:c>
      <x:c r="D17" s="3" t="str">
        <x:v>PAY.COMPLETE</x:v>
      </x:c>
      <x:c r="E17" s="3" t="str">
        <x:v>Concurrency</x:v>
      </x:c>
      <x:c r="F17" s="3" t="str">
        <x:v>Integration</x:v>
      </x:c>
      <x:c r="G17" s="3" t="str">
        <x:v>Source</x:v>
      </x:c>
      <x:c r="H17" s="3" t="str">
        <x:v>DS-PAYMENT sandbox; chưa thu tiền thật. Frontend dùng service stub; hoàn tất tích hợp cần provider/backend xác nhận giao dịch.</x:v>
      </x:c>
      <x:c r="I17" s="3" t="str">
        <x:v>complete pending,500</x:v>
      </x:c>
      <x:c r="J17" s="3" t="str">
        <x:v>1. Click liên tiếp.
2. Reject rồi retry.</x:v>
      </x:c>
      <x:c r="K17" s="3" t="str">
        <x:v>Một mutation mỗi lần pending; không auto retry; failure giữ màn hình/reference; không báo success.</x:v>
      </x:c>
      <x:c r="L17" s="3" t="str">
        <x:v>src/features/checkout/components/payment-screen.tsx:23
src/features/checkout/api/checkout.service.ts:17</x:v>
      </x:c>
      <x:c r="M17" s="3" t="str">
        <x:v>Đề xuất Integration | Test liên quan, chưa xác nhận phủ ca: src/features/checkout/components/payment-screen.test.tsx</x:v>
      </x:c>
      <x:c r="N17" s="10" t="str">
        <x:v>Not run</x:v>
      </x:c>
      <x:c r="O17" s="10" t="str">
        <x:v>Chưa thực thi đầy đủ các bước/expected của ca. Các test liên quan đã chạy, nhưng chưa có assertion đủ để gán Pass.</x:v>
      </x:c>
      <x:c r="P17" s="10" t="str">
        <x:v>execution/results.json → PAY-013
execution/assertions.json</x:v>
      </x:c>
      <x:c r="Q17" s="10" t="str"/>
      <x:c r="R17" s="11"/>
    </x:row>
    <x:row r="18" ht="106" customHeight="1">
      <x:c r="A18" s="3" t="str">
        <x:v>PAY-014</x:v>
      </x:c>
      <x:c r="B18" s="3" t="str">
        <x:v>Không tin amount và trạng thái từ URL</x:v>
      </x:c>
      <x:c r="C18" s="3" t="str">
        <x:v>P0</x:v>
      </x:c>
      <x:c r="D18" s="3" t="str">
        <x:v>PAY.SECURITY</x:v>
      </x:c>
      <x:c r="E18" s="3" t="str">
        <x:v>Functional</x:v>
      </x:c>
      <x:c r="F18" s="3" t="str">
        <x:v>API + E2E</x:v>
      </x:c>
      <x:c r="G18" s="3" t="str">
        <x:v>Security target</x:v>
      </x:c>
      <x:c r="H18" s="3" t="str">
        <x:v>DS-PAYMENT sandbox; chưa thu tiền thật. Frontend dùng service stub; hoàn tất tích hợp cần provider/backend xác nhận giao dịch.</x:v>
      </x:c>
      <x:c r="I18" s="3" t="str">
        <x:v>Tự đổi amount=0.01; truy cập success?orderId=OR-9999&amp;amount=999</x:v>
      </x:c>
      <x:c r="J18" s="3" t="str">
        <x:v>1. Sửa URL.
2. Mở success trực tiếp không trả tiền.</x:v>
      </x:c>
      <x:c r="K18" s="3" t="str">
        <x:v>Backend xác minh session/user/amount/status; không tạo hoặc khẳng định đơn đã trả tiền chỉ nhờ query hợp lệ.
Dependency / lưu ý: Source hiện render success theo format query; chưa có xác minh backend.</x:v>
      </x:c>
      <x:c r="L18" s="3" t="str">
        <x:v>src/app/[locale]/(marketing)/payment/success/page.tsx:7
src/features/checkout/api/checkout.service.ts:17</x:v>
      </x:c>
      <x:c r="M18" s="3" t="str">
        <x:v>Đề xuất API + E2E | Chưa có test đồng vị trí cho hành vi này</x:v>
      </x:c>
      <x:c r="N18" s="10" t="str">
        <x:v>Blocked</x:v>
      </x:c>
      <x:c r="O18" s="10" t="str">
        <x:v>checkout/payment/quote/contact submit trong source vẫn là mock local; thiếu API contract/endpoint và sandbox để chứng minh lưu dữ liệu, xác thực thanh toán, idempotency và email thật.</x:v>
      </x:c>
      <x:c r="P18" s="10" t="str">
        <x:v>execution/results.json → PAY-014
execution/assertions.json</x:v>
      </x:c>
      <x:c r="Q18" s="10" t="str">
        <x:v>Codex — local automated QA</x:v>
      </x:c>
      <x:c r="R18" s="11"/>
    </x:row>
    <x:row r="19" ht="94" customHeight="1">
      <x:c r="A19" s="3" t="str">
        <x:v>PAY-015</x:v>
      </x:c>
      <x:c r="B19" s="3" t="str">
        <x:v>Validation URL success</x:v>
      </x:c>
      <x:c r="C19" s="3" t="str">
        <x:v>P1</x:v>
      </x:c>
      <x:c r="D19" s="3" t="str">
        <x:v>PAY.SUCCESS</x:v>
      </x:c>
      <x:c r="E19" s="3" t="str">
        <x:v>Boundary</x:v>
      </x:c>
      <x:c r="F19" s="3" t="str">
        <x:v>Integration</x:v>
      </x:c>
      <x:c r="G19" s="3" t="str">
        <x:v>Source</x:v>
      </x:c>
      <x:c r="H19" s="3" t="str">
        <x:v>DS-PAYMENT sandbox; chưa thu tiền thật. Frontend dùng service stub; hoàn tất tích hợp cần provider/backend xác nhận giao dịch.</x:v>
      </x:c>
      <x:c r="I19" s="3" t="str">
        <x:v>orderId sai GUID/chuỗi; thiếu amount; amount&lt;=0</x:v>
      </x:c>
      <x:c r="J19" s="3" t="str">
        <x:v>1. Mở /payment/success với từng giá trị.</x:v>
      </x:c>
      <x:c r="K19" s="3" t="str">
        <x:v>Source chỉ nhận OR-&lt;digits&gt; và amount hữu hạn&gt;0, sai thì /checkout; test thêm contract orderId thật vì orders detail yêu cầu GUID.</x:v>
      </x:c>
      <x:c r="L19" s="3" t="str">
        <x:v>src/app/[locale]/(marketing)/payment/success/page.tsx:7
src/features/checkout/components/payment-success-screen.tsx:10</x:v>
      </x:c>
      <x:c r="M19" s="3" t="str">
        <x:v>Đề xuất Integration | Chưa có test đồng vị trí cho hành vi này</x:v>
      </x:c>
      <x:c r="N19" s="10" t="str">
        <x:v>Pass</x:v>
      </x:c>
      <x:c r="O19" s="10" t="str">
        <x:v>Assertion gắn ID đã pass qua UI/service boundary hoặc rule tương ứng; xem tên assertion trong assertions.json.</x:v>
      </x:c>
      <x:c r="P19" s="10" t="str">
        <x:v>execution/results.json → PAY-015
execution/assertions.json</x:v>
      </x:c>
      <x:c r="Q19" s="10" t="str">
        <x:v>Codex — local automated QA</x:v>
      </x:c>
      <x:c r="R19" s="11" t="d">
        <x:v>2026-10-18T05:30:31.999Z</x:v>
      </x:c>
    </x:row>
    <x:row r="20" ht="94" customHeight="1">
      <x:c r="A20" s="3" t="str">
        <x:v>PAY-016</x:v>
      </x:c>
      <x:c r="B20" s="3" t="str">
        <x:v>Email và chi tiết đơn đúng người dùng</x:v>
      </x:c>
      <x:c r="C20" s="3" t="str">
        <x:v>P0</x:v>
      </x:c>
      <x:c r="D20" s="3" t="str">
        <x:v>PAY.SUCCESS</x:v>
      </x:c>
      <x:c r="E20" s="3" t="str">
        <x:v>Functional</x:v>
      </x:c>
      <x:c r="F20" s="3" t="str">
        <x:v>Integration</x:v>
      </x:c>
      <x:c r="G20" s="3" t="str">
        <x:v>Integration contract</x:v>
      </x:c>
      <x:c r="H20" s="3" t="str">
        <x:v>DS-PAYMENT sandbox; chưa thu tiền thật. Frontend dùng service stub; hoàn tất tích hợp cần provider/backend xác nhận giao dịch.</x:v>
      </x:c>
      <x:c r="I20" s="3" t="str">
        <x:v>User A email qa.a@example.test; order có GUID</x:v>
      </x:c>
      <x:c r="J20" s="3" t="str">
        <x:v>1. Hoàn tất sandbox.
2. Đọc thông báo email.
3. Mở View order details.</x:v>
      </x:c>
      <x:c r="K20" s="3" t="str">
        <x:v>Email là người nhận thực tế; detail link dùng ID được orders API chấp nhận; không hardcode Sarah hoặc OR-3000 khi backend dùng GUID.</x:v>
      </x:c>
      <x:c r="L20" s="3" t="str">
        <x:v>src/app/[locale]/(marketing)/payment/success/page.tsx:7
src/features/checkout/components/payment-success-screen.tsx:10</x:v>
      </x:c>
      <x:c r="M20" s="3" t="str">
        <x:v>Đề xuất Integration | Chưa có test đồng vị trí cho hành vi này</x:v>
      </x:c>
      <x:c r="N20" s="10" t="str">
        <x:v>Blocked</x:v>
      </x:c>
      <x:c r="O20" s="10" t="str">
        <x:v>Đã bỏ email Sarah demo và link detail dùng ID mock. Việc xác nhận email/đơn đúng user vẫn cần response và receipt backend thật.</x:v>
      </x:c>
      <x:c r="P20" s="10" t="str">
        <x:v>FIX-21
execution/results.json → PAY-016
execution/assertions.json</x:v>
      </x:c>
      <x:c r="Q20" s="10" t="str">
        <x:v>Codex — local automated QA</x:v>
      </x:c>
      <x:c r="R20" s="11"/>
    </x:row>
    <x:row r="21" ht="106" customHeight="1">
      <x:c r="A21" s="3" t="str">
        <x:v>PAY-017</x:v>
      </x:c>
      <x:c r="B21" s="3" t="str">
        <x:v>Không mất trạng thái khi reload/back</x:v>
      </x:c>
      <x:c r="C21" s="3" t="str">
        <x:v>P0</x:v>
      </x:c>
      <x:c r="D21" s="3" t="str">
        <x:v>PAY.PERSIST</x:v>
      </x:c>
      <x:c r="E21" s="3" t="str">
        <x:v>Functional</x:v>
      </x:c>
      <x:c r="F21" s="3" t="str">
        <x:v>E2E</x:v>
      </x:c>
      <x:c r="G21" s="3" t="str">
        <x:v>Integration contract</x:v>
      </x:c>
      <x:c r="H21" s="3" t="str">
        <x:v>DS-PAYMENT sandbox; chưa thu tiền thật. Frontend dùng service stub; hoàn tất tích hợp cần provider/backend xác nhận giao dịch.</x:v>
      </x:c>
      <x:c r="I21" s="3" t="str">
        <x:v>Payment đã xác nhận hoặc đang chờ</x:v>
      </x:c>
      <x:c r="J21" s="3" t="str">
        <x:v>1. Reload payment/success.
2. Back/Forward.
3. Click xác nhận lại.</x:v>
      </x:c>
      <x:c r="K21" s="3" t="str">
        <x:v>Không charge hoặc tạo order trùng; trạng thái lấy backend; cart/orders cập nhật đúng sau thanh toán thành công.</x:v>
      </x:c>
      <x:c r="L21" s="3" t="str">
        <x:v>src/features/checkout/components/payment-screen.tsx:23
src/features/checkout/api/checkout.service.ts:17</x:v>
      </x:c>
      <x:c r="M21" s="3" t="str">
        <x:v>Đề xuất E2E | Test liên quan, chưa xác nhận phủ ca: src/features/checkout/components/payment-screen.test.tsx</x:v>
      </x:c>
      <x:c r="N21" s="10" t="str">
        <x:v>Blocked</x:v>
      </x:c>
      <x:c r="O21" s="10" t="str">
        <x:v>checkout/payment/quote/contact submit trong source vẫn là mock local; thiếu API contract/endpoint và sandbox để chứng minh lưu dữ liệu, xác thực thanh toán, idempotency và email thật.</x:v>
      </x:c>
      <x:c r="P21" s="10" t="str">
        <x:v>execution/results.json → PAY-017
execution/assertions.json</x:v>
      </x:c>
      <x:c r="Q21" s="10" t="str">
        <x:v>Codex — local automated QA</x:v>
      </x:c>
      <x:c r="R21" s="11"/>
    </x:row>
  </x:sheetData>
  <x:conditionalFormatting sqref="N5:N21">
    <x:cfRule type="containsText" dxfId="18" priority="1" operator="containsText" text="Fail"/>
    <x:cfRule type="containsText" dxfId="19" priority="2" operator="containsText" text="Blocked"/>
  </x:conditionalFormatting>
  <x:conditionalFormatting sqref="C5:C21">
    <x:cfRule type="containsText" dxfId="20" priority="3" operator="containsText" text="P0"/>
  </x:conditionalFormatting>
  <x:dataValidations count="1">
    <x:dataValidation type="list" sqref="N5:N21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c088780ddb41f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QUOTE — Gửi yêu cầu báo giá từ giỏ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QUOTE-001</x:v>
      </x:c>
      <x:c r="B5" s="3" t="str">
        <x:v>Chỉ các item đã chọn</x:v>
      </x:c>
      <x:c r="C5" s="3" t="str">
        <x:v>P1</x:v>
      </x:c>
      <x:c r="D5" s="3" t="str">
        <x:v>QUOTE.ITEMS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và DS-CART; contact fixture DS-QUOTE; quoteService hiện mock local. UI có thể test bằng service spy; persistence cần API thật.</x:v>
      </x:c>
      <x:c r="I5" s="3" t="str">
        <x:v>items=I2</x:v>
      </x:c>
      <x:c r="J5" s="3" t="str">
        <x:v>1. Mở quote URL từ cart.
2. Chọn/bỏ, cập nhật quantity/variant.</x:v>
      </x:c>
      <x:c r="K5" s="3" t="str">
        <x:v>Chỉ item2 xuất hiện; thao tác quantity/variant gọi cart API và render response; submit gửi cartItemIds đang chọn.</x:v>
      </x:c>
      <x:c r="L5" s="3" t="str">
        <x:v>src/features/checkout/components/request-quote-screen.tsx:22</x:v>
      </x:c>
      <x:c r="M5" s="3" t="str">
        <x:v>Đề xuất Integration | Test liên quan, chưa xác nhận phủ ca: src/features/checkout/components/request-quote-screen.test.tsx</x:v>
      </x:c>
      <x:c r="N5" s="10" t="str">
        <x:v>Not run</x:v>
      </x:c>
      <x:c r="O5" s="10" t="str">
        <x:v>Chưa thực thi đầy đủ các bước/expected của ca. Các test liên quan đã chạy, nhưng chưa có assertion đủ để gán Pass.</x:v>
      </x:c>
      <x:c r="P5" s="10" t="str">
        <x:v>execution/results.json → QUOTE-001
execution/assertions.json</x:v>
      </x:c>
      <x:c r="Q5" s="10" t="str"/>
      <x:c r="R5" s="11"/>
    </x:row>
    <x:row r="6" ht="94" customHeight="1">
      <x:c r="A6" s="3" t="str">
        <x:v>QUOTE-002</x:v>
      </x:c>
      <x:c r="B6" s="3" t="str">
        <x:v>Không còn item để gửi</x:v>
      </x:c>
      <x:c r="C6" s="3" t="str">
        <x:v>P1</x:v>
      </x:c>
      <x:c r="D6" s="3" t="str">
        <x:v>QUOTE.ITEMS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User A và DS-CART; contact fixture DS-QUOTE; quoteService hiện mock local. UI có thể test bằng service spy; persistence cần API thật.</x:v>
      </x:c>
      <x:c r="I6" s="3" t="str">
        <x:v>items=[] hoặc toàn ID lạ; bỏ all</x:v>
      </x:c>
      <x:c r="J6" s="3" t="str">
        <x:v>1. Mở quote với giỏ rỗng hoặc bỏ chọn hết.
2. Submit.</x:v>
      </x:c>
      <x:c r="K6" s="3" t="str">
        <x:v>Giỏ rỗng có empty screen; không chọn có thông báo select at least one; không gọi submitQuote.</x:v>
      </x:c>
      <x:c r="L6" s="3" t="str">
        <x:v>src/features/checkout/components/request-quote-screen.tsx:22</x:v>
      </x:c>
      <x:c r="M6" s="3" t="str">
        <x:v>Đề xuất Integration | Test liên quan, chưa xác nhận phủ ca: src/features/checkout/components/request-quote-screen.test.tsx</x:v>
      </x:c>
      <x:c r="N6" s="10" t="str">
        <x:v>Not run</x:v>
      </x:c>
      <x:c r="O6" s="10" t="str">
        <x:v>Chưa thực thi đầy đủ các bước/expected của ca. Các test liên quan đã chạy, nhưng chưa có assertion đủ để gán Pass.</x:v>
      </x:c>
      <x:c r="P6" s="10" t="str">
        <x:v>execution/results.json → QUOTE-002
execution/assertions.json</x:v>
      </x:c>
      <x:c r="Q6" s="10" t="str"/>
      <x:c r="R6" s="11"/>
    </x:row>
    <x:row r="7" ht="94" customHeight="1">
      <x:c r="A7" s="3" t="str">
        <x:v>QUOTE-003</x:v>
      </x:c>
      <x:c r="B7" s="3" t="str">
        <x:v>Mã gọi và region giới hạn</x:v>
      </x:c>
      <x:c r="C7" s="3" t="str">
        <x:v>P1</x:v>
      </x:c>
      <x:c r="D7" s="3" t="str">
        <x:v>QUOTE.CONTACT</x:v>
      </x:c>
      <x:c r="E7" s="3" t="str">
        <x:v>Contract</x:v>
      </x:c>
      <x:c r="F7" s="3" t="str">
        <x:v>Integration</x:v>
      </x:c>
      <x:c r="G7" s="3" t="str">
        <x:v>Source</x:v>
      </x:c>
      <x:c r="H7" s="3" t="str">
        <x:v>User A và DS-CART; contact fixture DS-QUOTE; quoteService hiện mock local. UI có thể test bằng service spy; persistence cần API thật.</x:v>
      </x:c>
      <x:c r="I7" s="3" t="str">
        <x:v>SG65 và VN84</x:v>
      </x:c>
      <x:c r="J7" s="3" t="str">
        <x:v>1. Chọn từng quốc gia/mã gọi.
2. Submit.</x:v>
      </x:c>
      <x:c r="K7" s="3" t="str">
        <x:v>phoneCountry gửi digits65/84, region là tên quốc gia; phone giữ national. Không nhầm ISO code với dialDigits.</x:v>
      </x:c>
      <x:c r="L7" s="3" t="str">
        <x:v>src/features/checkout/components/quote-contact-form.tsx:22
src/features/checkout/schemas/quote.schema.ts:3</x:v>
      </x:c>
      <x:c r="M7" s="3" t="str">
        <x:v>Đề xuất Integration | Chưa có test đồng vị trí cho hành vi này</x:v>
      </x:c>
      <x:c r="N7" s="10" t="str">
        <x:v>Not run</x:v>
      </x:c>
      <x:c r="O7" s="10" t="str">
        <x:v>Chưa thực thi đầy đủ các bước/expected của ca. Chưa có automation hoặc bằng chứng chạy ca tương ứng.</x:v>
      </x:c>
      <x:c r="P7" s="10" t="str">
        <x:v>execution/results.json → QUOTE-003
execution/assertions.json</x:v>
      </x:c>
      <x:c r="Q7" s="10" t="str"/>
      <x:c r="R7" s="11"/>
    </x:row>
    <x:row r="8" ht="94" customHeight="1">
      <x:c r="A8" s="3" t="str">
        <x:v>QUOTE-004</x:v>
      </x:c>
      <x:c r="B8" s="3" t="str">
        <x:v>Không dùng thông tin demo làm danh tính</x:v>
      </x:c>
      <x:c r="C8" s="3" t="str">
        <x:v>P0</x:v>
      </x:c>
      <x:c r="D8" s="3" t="str">
        <x:v>QUOTE.CONTACT</x:v>
      </x:c>
      <x:c r="E8" s="3" t="str">
        <x:v>Functional</x:v>
      </x:c>
      <x:c r="F8" s="3" t="str">
        <x:v>Integration</x:v>
      </x:c>
      <x:c r="G8" s="3" t="str">
        <x:v>Quality target</x:v>
      </x:c>
      <x:c r="H8" s="3" t="str">
        <x:v>User A và DS-CART; contact fixture DS-QUOTE; quoteService hiện mock local. UI có thể test bằng service spy; persistence cần API thật.</x:v>
      </x:c>
      <x:c r="I8" s="3" t="str">
        <x:v>User A khác Sarah</x:v>
      </x:c>
      <x:c r="J8" s="3" t="str">
        <x:v>1. Mở quote và quan sát default.
2. Thử submit chưa sửa.</x:v>
      </x:c>
      <x:c r="K8" s="3" t="str">
        <x:v>Dữ liệu liên hệ phải do người dùng cung cấp/xác nhận; không tạo quote dưới email Sarah demo.</x:v>
      </x:c>
      <x:c r="L8" s="3" t="str">
        <x:v>src/features/checkout/components/quote-contact-form.tsx:22
src/features/checkout/schemas/quote.schema.ts:3</x:v>
      </x:c>
      <x:c r="M8" s="3" t="str">
        <x:v>Đề xuất Integration | Chưa có test đồng vị trí cho hành vi này</x:v>
      </x:c>
      <x:c r="N8" s="10" t="str">
        <x:v>Pass</x:v>
      </x:c>
      <x:c r="O8" s="10" t="str">
        <x:v>Assertion gắn ID đã pass qua UI/service boundary hoặc rule tương ứng; xem tên assertion trong assertions.json.</x:v>
      </x:c>
      <x:c r="P8" s="10" t="str">
        <x:v>FIX-07
execution/results.json → QUOTE-004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QUOTE-005</x:v>
      </x:c>
      <x:c r="B9" s="3" t="str">
        <x:v>Name/email/phone bắt buộc</x:v>
      </x:c>
      <x:c r="C9" s="3" t="str">
        <x:v>P1</x:v>
      </x:c>
      <x:c r="D9" s="3" t="str">
        <x:v>QUOTE.VALIDATE</x:v>
      </x:c>
      <x:c r="E9" s="3" t="str">
        <x:v>Boundary</x:v>
      </x:c>
      <x:c r="F9" s="3" t="str">
        <x:v>Integration</x:v>
      </x:c>
      <x:c r="G9" s="3" t="str">
        <x:v>Source</x:v>
      </x:c>
      <x:c r="H9" s="3" t="str">
        <x:v>User A và DS-CART; contact fixture DS-QUOTE; quoteService hiện mock local. UI có thể test bằng service spy; persistence cần API thật.</x:v>
      </x:c>
      <x:c r="I9" s="3" t="str">
        <x:v>name1; email sai; phone thiếu hoặc ngoài7..19 ký tự</x:v>
      </x:c>
      <x:c r="J9" s="3" t="str">
        <x:v>1. Đổi từng trường của DS-QUOTE sang sai.
2. Submit.</x:v>
      </x:c>
      <x:c r="K9" s="3" t="str">
        <x:v>Lỗi tại field; không gọi service. Company optional&lt;=100; phoneCountry/region không rỗng.</x:v>
      </x:c>
      <x:c r="L9" s="3" t="str">
        <x:v>src/features/checkout/schemas/quote.schema.ts:3</x:v>
      </x:c>
      <x:c r="M9" s="3" t="str">
        <x:v>Đề xuất Integration | Chưa có test đồng vị trí cho hành vi này</x:v>
      </x:c>
      <x:c r="N9" s="10" t="str">
        <x:v>Not run</x:v>
      </x:c>
      <x:c r="O9" s="10" t="str">
        <x:v>Chưa thực thi đầy đủ các bước/expected của ca. Chưa có automation hoặc bằng chứng chạy ca tương ứng.</x:v>
      </x:c>
      <x:c r="P9" s="10" t="str">
        <x:v>execution/results.json → QUOTE-005
execution/assertions.json</x:v>
      </x:c>
      <x:c r="Q9" s="10" t="str"/>
      <x:c r="R9" s="11"/>
    </x:row>
    <x:row r="10" ht="94" customHeight="1">
      <x:c r="A10" s="3" t="str">
        <x:v>QUOTE-006</x:v>
      </x:c>
      <x:c r="B10" s="3" t="str">
        <x:v>Frontend submit thành công và pending</x:v>
      </x:c>
      <x:c r="C10" s="3" t="str">
        <x:v>P1</x:v>
      </x:c>
      <x:c r="D10" s="3" t="str">
        <x:v>QUOTE.SUBMIT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và DS-CART; contact fixture DS-QUOTE; quoteService hiện mock local. UI có thể test bằng service spy; persistence cần API thật.</x:v>
      </x:c>
      <x:c r="I10" s="3" t="str">
        <x:v>contact hợp lệ; submit chưa resolve</x:v>
      </x:c>
      <x:c r="J10" s="3" t="str">
        <x:v>1. Double click submit.
2. Resolve reference RFQ-ABC12345.</x:v>
      </x:c>
      <x:c r="K10" s="3" t="str">
        <x:v>Một submit với contact,itemIds,UUID; pending label; success chuyển /request-quote/success?reference=... .</x:v>
      </x:c>
      <x:c r="L10" s="3" t="str">
        <x:v>src/features/checkout/components/request-quote-screen.tsx:22</x:v>
      </x:c>
      <x:c r="M10" s="3" t="str">
        <x:v>Đề xuất Integration | Test liên quan, chưa xác nhận phủ ca: src/features/checkout/components/request-quote-screen.test.tsx</x:v>
      </x:c>
      <x:c r="N10" s="10" t="str">
        <x:v>Pass</x:v>
      </x:c>
      <x:c r="O10" s="10" t="str">
        <x:v>Form gửi đúng một mutation khi pending, nhận reference từ spy và điều hướng success.</x:v>
      </x:c>
      <x:c r="P10" s="10" t="str">
        <x:v>execution/results.json → QUOTE-006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QUOTE-007</x:v>
      </x:c>
      <x:c r="B11" s="3" t="str">
        <x:v>Submit lỗi và cancel</x:v>
      </x:c>
      <x:c r="C11" s="3" t="str">
        <x:v>P1</x:v>
      </x:c>
      <x:c r="D11" s="3" t="str">
        <x:v>QUOTE.SUBMIT</x:v>
      </x:c>
      <x:c r="E11" s="3" t="str">
        <x:v>Negative</x:v>
      </x:c>
      <x:c r="F11" s="3" t="str">
        <x:v>Integration</x:v>
      </x:c>
      <x:c r="G11" s="3" t="str">
        <x:v>Source</x:v>
      </x:c>
      <x:c r="H11" s="3" t="str">
        <x:v>User A và DS-CART; contact fixture DS-QUOTE; quoteService hiện mock local. UI có thể test bằng service spy; persistence cần API thật.</x:v>
      </x:c>
      <x:c r="I11" s="3" t="str">
        <x:v>submitQuote reject; sau đó Cancel</x:v>
      </x:c>
      <x:c r="J11" s="3" t="str">
        <x:v>1. Submit, cho lỗi.
2. Kiểm tra dữ liệu rồi Cancel.</x:v>
      </x:c>
      <x:c r="K11" s="3" t="str">
        <x:v>Alert, giữ input/selection, cho retry; Cancel -&gt; /cart, không submit lần nữa.</x:v>
      </x:c>
      <x:c r="L11" s="3" t="str">
        <x:v>src/features/checkout/components/request-quote-screen.tsx:22</x:v>
      </x:c>
      <x:c r="M11" s="3" t="str">
        <x:v>Đề xuất Integration | Test liên quan, chưa xác nhận phủ ca: src/features/checkout/components/request-quote-screen.test.tsx</x:v>
      </x:c>
      <x:c r="N11" s="10" t="str">
        <x:v>Not run</x:v>
      </x:c>
      <x:c r="O11" s="10" t="str">
        <x:v>Chưa thực thi đầy đủ các bước/expected của ca. Các test liên quan đã chạy, nhưng chưa có assertion đủ để gán Pass.</x:v>
      </x:c>
      <x:c r="P11" s="10" t="str">
        <x:v>execution/results.json → QUOTE-007
execution/assertions.json</x:v>
      </x:c>
      <x:c r="Q11" s="10" t="str"/>
      <x:c r="R11" s="11"/>
    </x:row>
    <x:row r="12" ht="106" customHeight="1">
      <x:c r="A12" s="3" t="str">
        <x:v>QUOTE-008</x:v>
      </x:c>
      <x:c r="B12" s="3" t="str">
        <x:v>Quote được lưu thật và xuất hiện trong RFQs</x:v>
      </x:c>
      <x:c r="C12" s="3" t="str">
        <x:v>P0</x:v>
      </x:c>
      <x:c r="D12" s="3" t="str">
        <x:v>QUOTE.INTEGRATION</x:v>
      </x:c>
      <x:c r="E12" s="3" t="str">
        <x:v>Functional</x:v>
      </x:c>
      <x:c r="F12" s="3" t="str">
        <x:v>API + E2E</x:v>
      </x:c>
      <x:c r="G12" s="3" t="str">
        <x:v>Integration contract</x:v>
      </x:c>
      <x:c r="H12" s="3" t="str">
        <x:v>User A và DS-CART; contact fixture DS-QUOTE; quoteService hiện mock local. UI có thể test bằng service spy; persistence cần API thật.</x:v>
      </x:c>
      <x:c r="I12" s="3" t="str">
        <x:v>Backend cần cấp contract submit</x:v>
      </x:c>
      <x:c r="J12" s="3" t="str">
        <x:v>1. Gửi quote qua API sandbox thật.
2. Mở /rfqs và detail.</x:v>
      </x:c>
      <x:c r="K12" s="3" t="str">
        <x:v>Có record thuộc user, item/qty/contact đúng; reference khớp; không có success khi backend không lưu.
Dependency / lưu ý: BLOCKER: quoteService hiện không gọi HTTP; không được đánh Pass bằng mock550ms.</x:v>
      </x:c>
      <x:c r="L12" s="3" t="str">
        <x:v>src/features/checkout/api/quote.service.ts:10</x:v>
      </x:c>
      <x:c r="M12" s="3" t="str">
        <x:v>Đề xuất API + E2E | Chưa có test đồng vị trí cho hành vi này</x:v>
      </x:c>
      <x:c r="N12" s="10" t="str">
        <x:v>Blocked</x:v>
      </x:c>
      <x:c r="O12" s="10" t="str">
        <x:v>checkout/payment/quote/contact submit trong source vẫn là mock local; thiếu API contract/endpoint và sandbox để chứng minh lưu dữ liệu, xác thực thanh toán, idempotency và email thật.</x:v>
      </x:c>
      <x:c r="P12" s="10" t="str">
        <x:v>execution/results.json → QUOTE-008
execution/assertions.json</x:v>
      </x:c>
      <x:c r="Q12" s="10" t="str">
        <x:v>Codex — local automated QA</x:v>
      </x:c>
      <x:c r="R12" s="11"/>
    </x:row>
    <x:row r="13" ht="94" customHeight="1">
      <x:c r="A13" s="3" t="str">
        <x:v>QUOTE-009</x:v>
      </x:c>
      <x:c r="B13" s="3" t="str">
        <x:v>Success direct URL và reference</x:v>
      </x:c>
      <x:c r="C13" s="3" t="str">
        <x:v>P1</x:v>
      </x:c>
      <x:c r="D13" s="3" t="str">
        <x:v>QUOTE.SUCCESS</x:v>
      </x:c>
      <x:c r="E13" s="3" t="str">
        <x:v>Negative</x:v>
      </x:c>
      <x:c r="F13" s="3" t="str">
        <x:v>Integration</x:v>
      </x:c>
      <x:c r="G13" s="3" t="str">
        <x:v>Quality target</x:v>
      </x:c>
      <x:c r="H13" s="3" t="str">
        <x:v>User A và DS-CART; contact fixture DS-QUOTE; quoteService hiện mock local. UI có thể test bằng service spy; persistence cần API thật.</x:v>
      </x:c>
      <x:c r="I13" s="3" t="str">
        <x:v>Không gửi quote; mở /request-quote/success?reference=fake</x:v>
      </x:c>
      <x:c r="J13" s="3" t="str">
        <x:v>1. Truy cập success trực tiếp.
2. Quan sát thông báo và view RFQs.</x:v>
      </x:c>
      <x:c r="K13" s="3" t="str">
        <x:v>Thành công phải được xác minh theo quote thực; reference gửi qua URL cần được hiển thị/đối chiếu. Source hiện bỏ qua query.</x:v>
      </x:c>
      <x:c r="L13" s="3" t="str">
        <x:v>src/features/checkout/components/quote-success-screen.tsx:7
src/app/[locale]/(marketing)/request-quote/success/page.tsx:6</x:v>
      </x:c>
      <x:c r="M13" s="3" t="str">
        <x:v>Đề xuất Integration | Chưa có test đồng vị trí cho hành vi này</x:v>
      </x:c>
      <x:c r="N13" s="10" t="str">
        <x:v>Not run</x:v>
      </x:c>
      <x:c r="O13" s="10" t="str">
        <x:v>Chưa thực thi đầy đủ các bước/expected của ca. Chưa có automation hoặc bằng chứng chạy ca tương ứng.</x:v>
      </x:c>
      <x:c r="P13" s="10" t="str">
        <x:v>execution/results.json → QUOTE-009
execution/assertions.json</x:v>
      </x:c>
      <x:c r="Q13" s="10" t="str"/>
      <x:c r="R13" s="11"/>
    </x:row>
  </x:sheetData>
  <x:conditionalFormatting sqref="N5:N13">
    <x:cfRule type="containsText" dxfId="21" priority="1" operator="containsText" text="Fail"/>
    <x:cfRule type="containsText" dxfId="22" priority="2" operator="containsText" text="Blocked"/>
  </x:conditionalFormatting>
  <x:conditionalFormatting sqref="C5:C13">
    <x:cfRule type="containsText" dxfId="23" priority="3" operator="containsText" text="P0"/>
  </x:conditionalFormatting>
  <x:dataValidations count="1">
    <x:dataValidation type="list" sqref="N5:N1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c5c7d1d7a5449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ORD — Đơn hàng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ORD-001</x:v>
      </x:c>
      <x:c r="B5" s="3" t="str">
        <x:v>Tải danh sách theo user</x:v>
      </x:c>
      <x:c r="C5" s="3" t="str">
        <x:v>P0</x:v>
      </x:c>
      <x:c r="D5" s="3" t="str">
        <x:v>ORD.LIST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DS-ORD, user B sở hữu record khác; fixture 21 record, pageSize10; dùng backend sandbox hoặc HTTP mock cho frontend.</x:v>
      </x:c>
      <x:c r="I5" s="3" t="str">
        <x:v>DS-ORD; page1,total21</x:v>
      </x:c>
      <x:c r="J5" s="3" t="str">
        <x:v>1. Đăng nhập A.
2. Mở danh sách.</x:v>
      </x:c>
      <x:c r="K5" s="3" t="str">
        <x:v>GET /orders?page=1&amp;pageSize=10 có Bearer; đúng10 record, total21; không dùng dữ liệu người dùng B.</x:v>
      </x:c>
      <x:c r="L5" s="3" t="str">
        <x:v>src/features/orders/api/orders.service.ts:14
src/features/orders/api/use-orders-query.ts:7
src/features/orders/components/orders-screen.tsx:17</x:v>
      </x:c>
      <x:c r="M5" s="3" t="str">
        <x:v>Đề xuất Integration | Test liên quan, chưa xác nhận phủ ca: src/features/orders/api/orders.service.test.ts</x:v>
      </x:c>
      <x:c r="N5" s="10" t="str">
        <x:v>Not run</x:v>
      </x:c>
      <x:c r="O5" s="10" t="str">
        <x:v>MỘT PHẦN: Đã kiểm tra list/next-page/detail/ID validation hoặc mapping; chưa thực thi trọn các trạng thái và tổ hợp của ca.</x:v>
      </x:c>
      <x:c r="P5" s="10" t="str">
        <x:v>execution/results.json → ORD-001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ORD-002</x:v>
      </x:c>
      <x:c r="B6" s="3" t="str">
        <x:v>Phân trang đầu, giữa và cuối</x:v>
      </x:c>
      <x:c r="C6" s="3" t="str">
        <x:v>P1</x:v>
      </x:c>
      <x:c r="D6" s="3" t="str">
        <x:v>ORD.PAGING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DS-ORD, user B sở hữu record khác; fixture 21 record, pageSize10; dùng backend sandbox hoặc HTTP mock cho frontend.</x:v>
      </x:c>
      <x:c r="I6" s="3" t="str">
        <x:v>page1/2/3; total21</x:v>
      </x:c>
      <x:c r="J6" s="3" t="str">
        <x:v>1. Chọn Next tới trang cuối.
2. Previous về đầu.</x:v>
      </x:c>
      <x:c r="K6" s="3" t="str">
        <x:v>URL page và request đồng bộ; count1–10,11–20,21–21; Previous/Next disabled đúng biên; dữ liệu trang trước chỉ là placeholder khi đang fetch.</x:v>
      </x:c>
      <x:c r="L6" s="3" t="str">
        <x:v>src/features/orders/api/orders.service.ts:14
src/features/orders/api/use-orders-query.ts:7
src/features/orders/components/orders-screen.tsx:17</x:v>
      </x:c>
      <x:c r="M6" s="3" t="str">
        <x:v>Đề xuất Integration | Test liên quan, chưa xác nhận phủ ca: src/features/orders/api/orders.service.test.ts</x:v>
      </x:c>
      <x:c r="N6" s="10" t="str">
        <x:v>Not run</x:v>
      </x:c>
      <x:c r="O6" s="10" t="str">
        <x:v>MỘT PHẦN: Đã kiểm tra list/next-page/detail/ID validation hoặc mapping; chưa thực thi trọn các trạng thái và tổ hợp của ca.</x:v>
      </x:c>
      <x:c r="P6" s="10" t="str">
        <x:v>execution/results.json → ORD-002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ORD-003</x:v>
      </x:c>
      <x:c r="B7" s="3" t="str">
        <x:v>Page query không hợp lệ</x:v>
      </x:c>
      <x:c r="C7" s="3" t="str">
        <x:v>P1</x:v>
      </x:c>
      <x:c r="D7" s="3" t="str">
        <x:v>ORD.PAGING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User A có DS-ORD, user B sở hữu record khác; fixture 21 record, pageSize10; dùng backend sandbox hoặc HTTP mock cho frontend.</x:v>
      </x:c>
      <x:c r="I7" s="3" t="str">
        <x:v>page=0,-1,abc,1.5</x:v>
      </x:c>
      <x:c r="J7" s="3" t="str">
        <x:v>1. Mở từng query.
2. Xem request.</x:v>
      </x:c>
      <x:c r="K7" s="3" t="str">
        <x:v>Fallback1; không crash. page rất lớn hợp lệ theo schema cần backend xử lý rỗng, không hiển thị count sai.</x:v>
      </x:c>
      <x:c r="L7" s="3" t="str">
        <x:v>src/features/orders/api/orders.service.ts:14
src/features/orders/api/use-orders-query.ts:7
src/features/orders/components/orders-screen.tsx:17</x:v>
      </x:c>
      <x:c r="M7" s="3" t="str">
        <x:v>Đề xuất Integration | Test liên quan, chưa xác nhận phủ ca: src/features/orders/api/orders.service.test.ts</x:v>
      </x:c>
      <x:c r="N7" s="10" t="str">
        <x:v>Not run</x:v>
      </x:c>
      <x:c r="O7" s="10" t="str">
        <x:v>Chưa thực thi đầy đủ các bước/expected của ca. Các test liên quan đã chạy, nhưng chưa có assertion đủ để gán Pass.</x:v>
      </x:c>
      <x:c r="P7" s="10" t="str">
        <x:v>execution/results.json → ORD-003
execution/assertions.json</x:v>
      </x:c>
      <x:c r="Q7" s="10" t="str"/>
      <x:c r="R7" s="11"/>
    </x:row>
    <x:row r="8" ht="94" customHeight="1">
      <x:c r="A8" s="3" t="str">
        <x:v>ORD-004</x:v>
      </x:c>
      <x:c r="B8" s="3" t="str">
        <x:v>Loading, empty và error</x:v>
      </x:c>
      <x:c r="C8" s="3" t="str">
        <x:v>P1</x:v>
      </x:c>
      <x:c r="D8" s="3" t="str">
        <x:v>ORD.STATE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User A có DS-ORD, user B sở hữu record khác; fixture 21 record, pageSize10; dùng backend sandbox hoặc HTTP mock cho frontend.</x:v>
      </x:c>
      <x:c r="I8" s="3" t="str">
        <x:v>GET /orders chậm, items=[], 500</x:v>
      </x:c>
      <x:c r="J8" s="3" t="str">
        <x:v>1. Reset cache và thử từng response.
2. Quan sát UI.</x:v>
      </x:c>
      <x:c r="K8" s="3" t="str">
        <x:v>Skeleton lúc pending; empty message chỉ với response rỗng hợp lệ; lỗi có Alert, không giả empty.</x:v>
      </x:c>
      <x:c r="L8" s="3" t="str">
        <x:v>src/features/orders/api/orders.service.ts:14
src/features/orders/api/use-orders-query.ts:7
src/features/orders/components/orders-screen.tsx:17</x:v>
      </x:c>
      <x:c r="M8" s="3" t="str">
        <x:v>Đề xuất Integration | Test liên quan, chưa xác nhận phủ ca: src/features/orders/api/orders.service.test.ts</x:v>
      </x:c>
      <x:c r="N8" s="10" t="str">
        <x:v>Not run</x:v>
      </x:c>
      <x:c r="O8" s="10" t="str">
        <x:v>Chưa thực thi đầy đủ các bước/expected của ca. Các test liên quan đã chạy, nhưng chưa có assertion đủ để gán Pass.</x:v>
      </x:c>
      <x:c r="P8" s="10" t="str">
        <x:v>execution/results.json → ORD-004
execution/assertions.json</x:v>
      </x:c>
      <x:c r="Q8" s="10" t="str"/>
      <x:c r="R8" s="11"/>
    </x:row>
    <x:row r="9" ht="94" customHeight="1">
      <x:c r="A9" s="3" t="str">
        <x:v>ORD-005</x:v>
      </x:c>
      <x:c r="B9" s="3" t="str">
        <x:v>Lỗi refresh khi đang có dữ liệu</x:v>
      </x:c>
      <x:c r="C9" s="3" t="str">
        <x:v>P0</x:v>
      </x:c>
      <x:c r="D9" s="3" t="str">
        <x:v>ORD.STATE</x:v>
      </x:c>
      <x:c r="E9" s="3" t="str">
        <x:v>Reliability</x:v>
      </x:c>
      <x:c r="F9" s="3" t="str">
        <x:v>Integration</x:v>
      </x:c>
      <x:c r="G9" s="3" t="str">
        <x:v>Source</x:v>
      </x:c>
      <x:c r="H9" s="3" t="str">
        <x:v>User A có DS-ORD, user B sở hữu record khác; fixture 21 record, pageSize10; dùng backend sandbox hoặc HTTP mock cho frontend.</x:v>
      </x:c>
      <x:c r="I9" s="3" t="str">
        <x:v>Đã tải page1; refetch=500 hoặc401</x:v>
      </x:c>
      <x:c r="J9" s="3" t="str">
        <x:v>1. Làm cache stale.
2. Refetch thất bại.</x:v>
      </x:c>
      <x:c r="K9" s="3" t="str">
        <x:v>Không gọi dữ liệu stale là mới; lỗi hiển thị; 401 sau refresh thất bại xóa private data, không giữ PII ở màn hình.</x:v>
      </x:c>
      <x:c r="L9" s="3" t="str">
        <x:v>src/features/orders/api/orders.service.ts:14
src/features/orders/api/use-orders-query.ts:7
src/features/orders/components/orders-screen.tsx:17</x:v>
      </x:c>
      <x:c r="M9" s="3" t="str">
        <x:v>Đề xuất Integration | Test liên quan, chưa xác nhận phủ ca: src/features/orders/api/orders.service.test.ts</x:v>
      </x:c>
      <x:c r="N9" s="10" t="str">
        <x:v>Not run</x:v>
      </x:c>
      <x:c r="O9" s="10" t="str">
        <x:v>Chưa thực thi đầy đủ các bước/expected của ca. Các test liên quan đã chạy, nhưng chưa có assertion đủ để gán Pass.</x:v>
      </x:c>
      <x:c r="P9" s="10" t="str">
        <x:v>execution/results.json → ORD-005
execution/assertions.json</x:v>
      </x:c>
      <x:c r="Q9" s="10" t="str"/>
      <x:c r="R9" s="11"/>
    </x:row>
    <x:row r="10" ht="94" customHeight="1">
      <x:c r="A10" s="3" t="str">
        <x:v>ORD-006</x:v>
      </x:c>
      <x:c r="B10" s="3" t="str">
        <x:v>Các trạng thái và fallback</x:v>
      </x:c>
      <x:c r="C10" s="3" t="str">
        <x:v>P2</x:v>
      </x:c>
      <x:c r="D10" s="3" t="str">
        <x:v>ORD.STATUS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DS-ORD, user B sở hữu record khác; fixture 21 record, pageSize10; dùng backend sandbox hoặc HTTP mock cho frontend.</x:v>
      </x:c>
      <x:c r="I10" s="3" t="str">
        <x:v>status=Draft,Pending,Paid,Processing,Awaiting Shipment,AwaitingPayment,Shipped,Delivered,Completed,Cancelled,Canceled; unknown=NewBackendStatus</x:v>
      </x:c>
      <x:c r="J10" s="3" t="str">
        <x:v>1. Render từng status.
2. Lặp locale vi.</x:v>
      </x:c>
      <x:c r="K10" s="3" t="str">
        <x:v>Trim/normalize dấu cách/underscore/casing theo source; status lạ vẫn có label và không crash; màu không là tín hiệu duy nhất.</x:v>
      </x:c>
      <x:c r="L10" s="3" t="str">
        <x:v>src/features/orders/api/orders.service.ts:14
src/features/orders/api/use-orders-query.ts:7
src/features/orders/components/orders-screen.tsx:17</x:v>
      </x:c>
      <x:c r="M10" s="3" t="str">
        <x:v>Đề xuất Integration | Test liên quan, chưa xác nhận phủ ca: src/features/orders/api/orders.service.test.ts</x:v>
      </x:c>
      <x:c r="N10" s="10" t="str">
        <x:v>Not run</x:v>
      </x:c>
      <x:c r="O10" s="10" t="str">
        <x:v>Chưa thực thi đầy đủ các bước/expected của ca. Các test liên quan đã chạy, nhưng chưa có assertion đủ để gán Pass.</x:v>
      </x:c>
      <x:c r="P10" s="10" t="str">
        <x:v>execution/results.json → ORD-006
execution/assertions.json</x:v>
      </x:c>
      <x:c r="Q10" s="10" t="str"/>
      <x:c r="R10" s="11"/>
    </x:row>
    <x:row r="11" ht="94" customHeight="1">
      <x:c r="A11" s="3" t="str">
        <x:v>ORD-007</x:v>
      </x:c>
      <x:c r="B11" s="3" t="str">
        <x:v>Detail đúng ID và link</x:v>
      </x:c>
      <x:c r="C11" s="3" t="str">
        <x:v>P0</x:v>
      </x:c>
      <x:c r="D11" s="3" t="str">
        <x:v>ORD.DETAIL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DS-ORD, user B sở hữu record khác; fixture 21 record, pageSize10; dùng backend sandbox hoặc HTTP mock cho frontend.</x:v>
      </x:c>
      <x:c r="I11" s="3" t="str">
        <x:v>ID GUID hợp lệ thuộc A</x:v>
      </x:c>
      <x:c r="J11" s="3" t="str">
        <x:v>1. Click link số record.
2. Reload URL detail.</x:v>
      </x:c>
      <x:c r="K11" s="3" t="str">
        <x:v>GET /orders/&lt;GUID&gt; đúng record; breadcrumb có số tương ứng; route uppercase không làm backend sai lookup GUID.</x:v>
      </x:c>
      <x:c r="L11" s="3" t="str">
        <x:v>src/features/orders/api/orders.service.ts:14
src/features/orders/api/use-orders-query.ts:7
src/features/orders/components/orders-screen.tsx:17</x:v>
      </x:c>
      <x:c r="M11" s="3" t="str">
        <x:v>Đề xuất Integration | Test liên quan, chưa xác nhận phủ ca: src/features/orders/api/orders.service.test.ts</x:v>
      </x:c>
      <x:c r="N11" s="10" t="str">
        <x:v>Pass</x:v>
      </x:c>
      <x:c r="O11" s="10" t="str">
        <x:v>ID/detail link và request detail được xác minh bằng response tổng hợp.</x:v>
      </x:c>
      <x:c r="P11" s="10" t="str">
        <x:v>execution/results.json → ORD-007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ORD-008</x:v>
      </x:c>
      <x:c r="B12" s="3" t="str">
        <x:v>ID sai và record không tồn tại</x:v>
      </x:c>
      <x:c r="C12" s="3" t="str">
        <x:v>P1</x:v>
      </x:c>
      <x:c r="D12" s="3" t="str">
        <x:v>ORD.DETAIL</x:v>
      </x:c>
      <x:c r="E12" s="3" t="str">
        <x:v>Negative</x:v>
      </x:c>
      <x:c r="F12" s="3" t="str">
        <x:v>Integration</x:v>
      </x:c>
      <x:c r="G12" s="3" t="str">
        <x:v>Source</x:v>
      </x:c>
      <x:c r="H12" s="3" t="str">
        <x:v>User A có DS-ORD, user B sở hữu record khác; fixture 21 record, pageSize10; dùng backend sandbox hoặc HTTP mock cho frontend.</x:v>
      </x:c>
      <x:c r="I12" s="3" t="str">
        <x:v>id=OR-3000 hoặc chuỗi bất kỳ; GUID404</x:v>
      </x:c>
      <x:c r="J12" s="3" t="str">
        <x:v>1. Mở detail từng ID.
2. Theo dõi HTTP.</x:v>
      </x:c>
      <x:c r="K12" s="3" t="str">
        <x:v>ID sai reject trước HTTP; GUID không tồn tại hiển thị lỗi và link về danh sách; không crash toàn layout.</x:v>
      </x:c>
      <x:c r="L12" s="3" t="str">
        <x:v>src/features/orders/api/orders.service.ts:14
src/features/orders/api/use-orders-query.ts:7
src/features/orders/components/orders-screen.tsx:17</x:v>
      </x:c>
      <x:c r="M12" s="3" t="str">
        <x:v>Đề xuất Integration | Test liên quan, chưa xác nhận phủ ca: src/features/orders/api/orders.service.test.ts</x:v>
      </x:c>
      <x:c r="N12" s="10" t="str">
        <x:v>Not run</x:v>
      </x:c>
      <x:c r="O12" s="10" t="str">
        <x:v>MỘT PHẦN: Đã kiểm tra list/next-page/detail/ID validation hoặc mapping; chưa thực thi trọn các trạng thái và tổ hợp của ca.</x:v>
      </x:c>
      <x:c r="P12" s="10" t="str">
        <x:v>execution/results.json → ORD-008
execution/assertions.json</x:v>
      </x:c>
      <x:c r="Q12" s="10" t="str">
        <x:v>Codex — local automated QA</x:v>
      </x:c>
      <x:c r="R12" s="11" t="d">
        <x:v>2026-10-18T05:30:31.999Z</x:v>
      </x:c>
    </x:row>
    <x:row r="13" ht="106" customHeight="1">
      <x:c r="A13" s="3" t="str">
        <x:v>ORD-009</x:v>
      </x:c>
      <x:c r="B13" s="3" t="str">
        <x:v>Không xem record người khác</x:v>
      </x:c>
      <x:c r="C13" s="3" t="str">
        <x:v>P0</x:v>
      </x:c>
      <x:c r="D13" s="3" t="str">
        <x:v>ORD.AUTHZ</x:v>
      </x:c>
      <x:c r="E13" s="3" t="str">
        <x:v>Functional</x:v>
      </x:c>
      <x:c r="F13" s="3" t="str">
        <x:v>API + E2E</x:v>
      </x:c>
      <x:c r="G13" s="3" t="str">
        <x:v>Security target</x:v>
      </x:c>
      <x:c r="H13" s="3" t="str">
        <x:v>User A có DS-ORD, user B sở hữu record khác; fixture 21 record, pageSize10; dùng backend sandbox hoặc HTTP mock cho frontend.</x:v>
      </x:c>
      <x:c r="I13" s="3" t="str">
        <x:v>ID thuộc B; token A hoặc guest</x:v>
      </x:c>
      <x:c r="J13" s="3" t="str">
        <x:v>1. Đổi URL detail sang record B.
2. Gọi API trực tiếp với A/không token.</x:v>
      </x:c>
      <x:c r="K13" s="3" t="str">
        <x:v>Backend trả403/404 theo policy; không gửi dữ liệu B cho A. UI error phù hợp; không suy ra quyền chỉ từ route.</x:v>
      </x:c>
      <x:c r="L13" s="3" t="str">
        <x:v>src/features/orders/api/orders.service.ts:14
src/features/orders/api/use-orders-query.ts:7
src/features/orders/components/orders-screen.tsx:17</x:v>
      </x:c>
      <x:c r="M13" s="3" t="str">
        <x:v>Đề xuất API + E2E | Test liên quan, chưa xác nhận phủ ca: src/features/orders/api/orders.service.test.ts</x:v>
      </x:c>
      <x:c r="N13" s="10" t="str">
        <x:v>Blocked</x:v>
      </x:c>
      <x:c r="O13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13" s="10" t="str">
        <x:v>execution/results.json → ORD-009
execution/assertions.json</x:v>
      </x:c>
      <x:c r="Q13" s="10" t="str">
        <x:v>Codex — local automated QA</x:v>
      </x:c>
      <x:c r="R13" s="11"/>
    </x:row>
    <x:row r="14" ht="94" customHeight="1">
      <x:c r="A14" s="3" t="str">
        <x:v>ORD-010</x:v>
      </x:c>
      <x:c r="B14" s="3" t="str">
        <x:v>Đổi page/detail nhanh</x:v>
      </x:c>
      <x:c r="C14" s="3" t="str">
        <x:v>P1</x:v>
      </x:c>
      <x:c r="D14" s="3" t="str">
        <x:v>ORD.RACE</x:v>
      </x:c>
      <x:c r="E14" s="3" t="str">
        <x:v>Concurrency</x:v>
      </x:c>
      <x:c r="F14" s="3" t="str">
        <x:v>Integration</x:v>
      </x:c>
      <x:c r="G14" s="3" t="str">
        <x:v>Source</x:v>
      </x:c>
      <x:c r="H14" s="3" t="str">
        <x:v>User A có DS-ORD, user B sở hữu record khác; fixture 21 record, pageSize10; dùng backend sandbox hoặc HTTP mock cho frontend.</x:v>
      </x:c>
      <x:c r="I14" s="3" t="str">
        <x:v>Response trang2 chậm hơn3; ID A chậm hơn B</x:v>
      </x:c>
      <x:c r="J14" s="3" t="str">
        <x:v>1. Điều hướng liên tiếp.
2. Resolve đảo thứ tự.</x:v>
      </x:c>
      <x:c r="K14" s="3" t="str">
        <x:v>Query key tách page/id; UI cuối khớp URL; AbortSignal tới service; response cũ không thay record mới.</x:v>
      </x:c>
      <x:c r="L14" s="3" t="str">
        <x:v>src/features/orders/api/orders.service.ts:14
src/features/orders/api/use-orders-query.ts:7
src/features/orders/components/orders-screen.tsx:17</x:v>
      </x:c>
      <x:c r="M14" s="3" t="str">
        <x:v>Đề xuất Integration | Test liên quan, chưa xác nhận phủ ca: src/features/orders/api/orders.service.test.ts</x:v>
      </x:c>
      <x:c r="N14" s="10" t="str">
        <x:v>Not run</x:v>
      </x:c>
      <x:c r="O14" s="10" t="str">
        <x:v>Chưa thực thi đầy đủ các bước/expected của ca. Các test liên quan đã chạy, nhưng chưa có assertion đủ để gán Pass.</x:v>
      </x:c>
      <x:c r="P14" s="10" t="str">
        <x:v>execution/results.json → ORD-010
execution/assertions.json</x:v>
      </x:c>
      <x:c r="Q14" s="10" t="str"/>
      <x:c r="R14" s="11"/>
    </x:row>
    <x:row r="15" ht="94" customHeight="1">
      <x:c r="A15" s="3" t="str">
        <x:v>ORD-011</x:v>
      </x:c>
      <x:c r="B15" s="3" t="str">
        <x:v>Reject response sai contract</x:v>
      </x:c>
      <x:c r="C15" s="3" t="str">
        <x:v>P1</x:v>
      </x:c>
      <x:c r="D15" s="3" t="str">
        <x:v>ORD.SCHEMA</x:v>
      </x:c>
      <x:c r="E15" s="3" t="str">
        <x:v>Contract</x:v>
      </x:c>
      <x:c r="F15" s="3" t="str">
        <x:v>Unit</x:v>
      </x:c>
      <x:c r="G15" s="3" t="str">
        <x:v>Source</x:v>
      </x:c>
      <x:c r="H15" s="3" t="str">
        <x:v>User A có DS-ORD, user B sở hữu record khác; fixture 21 record, pageSize10; dùng backend sandbox hoặc HTTP mock cho frontend.</x:v>
      </x:c>
      <x:c r="I15" s="3" t="str">
        <x:v>items malformed; quantity0; total âm; date không ISO; GUID sai</x:v>
      </x:c>
      <x:c r="J15" s="3" t="str">
        <x:v>1. Gửi từng fixture sai vào service.</x:v>
      </x:c>
      <x:c r="K15" s="3" t="str">
        <x:v>Reject trước render và hiển thị error state; không format ngày/tiền từ dữ liệu sai.</x:v>
      </x:c>
      <x:c r="L15" s="3" t="str">
        <x:v>src/features/orders/api/orders.service.ts:14
src/features/orders/api/use-orders-query.ts:7
src/features/orders/components/orders-screen.tsx:17</x:v>
      </x:c>
      <x:c r="M15" s="3" t="str">
        <x:v>Đề xuất Unit | Test liên quan, chưa xác nhận phủ ca: src/features/orders/api/orders.service.test.ts</x:v>
      </x:c>
      <x:c r="N15" s="10" t="str">
        <x:v>Not run</x:v>
      </x:c>
      <x:c r="O15" s="10" t="str">
        <x:v>MỘT PHẦN: Đã kiểm tra list/next-page/detail/ID validation hoặc mapping; chưa thực thi trọn các trạng thái và tổ hợp của ca.</x:v>
      </x:c>
      <x:c r="P15" s="10" t="str">
        <x:v>execution/results.json → ORD-011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ORD-012</x:v>
      </x:c>
      <x:c r="B16" s="3" t="str">
        <x:v>Bảng desktop và card mobile</x:v>
      </x:c>
      <x:c r="C16" s="3" t="str">
        <x:v>P2</x:v>
      </x:c>
      <x:c r="D16" s="3" t="str">
        <x:v>ORD.RESPONSIVE</x:v>
      </x:c>
      <x:c r="E16" s="3" t="str">
        <x:v>Functional</x:v>
      </x:c>
      <x:c r="F16" s="3" t="str">
        <x:v>Browser</x:v>
      </x:c>
      <x:c r="G16" s="3" t="str">
        <x:v>Source</x:v>
      </x:c>
      <x:c r="H16" s="3" t="str">
        <x:v>User A có DS-ORD, user B sở hữu record khác; fixture 21 record, pageSize10; dùng backend sandbox hoặc HTTP mock cho frontend.</x:v>
      </x:c>
      <x:c r="I16" s="3" t="str">
        <x:v>Viewport390,768,1280; chuỗi dài</x:v>
      </x:c>
      <x:c r="J16" s="3" t="str">
        <x:v>1. Mở list và detail.
2. So record/links ở hai layout.</x:v>
      </x:c>
      <x:c r="K16" s="3" t="str">
        <x:v>Cùng dữ liệu và hành động, không mất số/ngày/status; cuộn bảng trong vùng cần thiết, không tràn toàn trang.</x:v>
      </x:c>
      <x:c r="L16" s="3" t="str">
        <x:v>src/features/orders/api/orders.service.ts:14
src/features/orders/api/use-orders-query.ts:7
src/features/orders/components/orders-screen.tsx:17</x:v>
      </x:c>
      <x:c r="M16" s="3" t="str">
        <x:v>Đề xuất Browser | Test liên quan, chưa xác nhận phủ ca: src/features/orders/api/orders.service.test.ts</x:v>
      </x:c>
      <x:c r="N16" s="10" t="str">
        <x:v>Not run</x:v>
      </x:c>
      <x:c r="O16" s="10" t="str">
        <x:v>Chưa thực thi đầy đủ các bước/expected của ca. Các test liên quan đã chạy, nhưng chưa có assertion đủ để gán Pass.</x:v>
      </x:c>
      <x:c r="P16" s="10" t="str">
        <x:v>execution/results.json → ORD-012
execution/assertions.json</x:v>
      </x:c>
      <x:c r="Q16" s="10" t="str"/>
      <x:c r="R16" s="11"/>
    </x:row>
    <x:row r="17" ht="94" customHeight="1">
      <x:c r="A17" s="3" t="str">
        <x:v>ORD-013</x:v>
      </x:c>
      <x:c r="B17" s="3" t="str">
        <x:v>Tổng và invoice từ API</x:v>
      </x:c>
      <x:c r="C17" s="3" t="str">
        <x:v>P1</x:v>
      </x:c>
      <x:c r="D17" s="3" t="str">
        <x:v>ORD.AMOUNT</x:v>
      </x:c>
      <x:c r="E17" s="3" t="str">
        <x:v>Contract</x:v>
      </x:c>
      <x:c r="F17" s="3" t="str">
        <x:v>Integration</x:v>
      </x:c>
      <x:c r="G17" s="3" t="str">
        <x:v>Source</x:v>
      </x:c>
      <x:c r="H17" s="3" t="str">
        <x:v>User A có DS-ORD, user B sở hữu record khác; fixture 21 record, pageSize10; dùng backend sandbox hoặc HTTP mock cho frontend.</x:v>
      </x:c>
      <x:c r="I17" s="3" t="str">
        <x:v>subtotal4500,tax405,shipping10,additional5,platform20,total4940; invoice.currency khác order.currency</x:v>
      </x:c>
      <x:c r="J17" s="3" t="str">
        <x:v>1. Mở detail.
2. Đối chiếu mỗi khoản và tiền tệ.</x:v>
      </x:c>
      <x:c r="K17" s="3" t="str">
        <x:v>Hiện từng khoản theo response; invoice dùng invoice.currency; line dùng currency contract xác nhận. Không tự tính lại hoặc đổi tiền ngầm.</x:v>
      </x:c>
      <x:c r="L17" s="3" t="str">
        <x:v>src/features/orders/api/orders.service.ts:14
src/features/orders/api/use-orders-query.ts:7
src/features/orders/components/orders-screen.tsx:17</x:v>
      </x:c>
      <x:c r="M17" s="3" t="str">
        <x:v>Đề xuất Integration | Test liên quan, chưa xác nhận phủ ca: src/features/orders/api/orders.service.test.ts</x:v>
      </x:c>
      <x:c r="N17" s="10" t="str">
        <x:v>Not run</x:v>
      </x:c>
      <x:c r="O17" s="10" t="str">
        <x:v>MỘT PHẦN: Đã kiểm tra list/next-page/detail/ID validation hoặc mapping; chưa thực thi trọn các trạng thái và tổ hợp của ca.</x:v>
      </x:c>
      <x:c r="P17" s="10" t="str">
        <x:v>execution/results.json → ORD-013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ORD-014</x:v>
      </x:c>
      <x:c r="B18" s="3" t="str">
        <x:v>Snapshot JSON hợp lệ, lỗi và rỗng</x:v>
      </x:c>
      <x:c r="C18" s="3" t="str">
        <x:v>P2</x:v>
      </x:c>
      <x:c r="D18" s="3" t="str">
        <x:v>ORD.SHIPPING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User A có DS-ORD, user B sở hữu record khác; fixture 21 record, pageSize10; dùng backend sandbox hoặc HTTP mock cho frontend.</x:v>
      </x:c>
      <x:c r="I18" s="3" t="str">
        <x:v>shippingSnapshotJson JSON; invalid text; empty</x:v>
      </x:c>
      <x:c r="J18" s="3" t="str">
        <x:v>1. Render từng payload.</x:v>
      </x:c>
      <x:c r="K18" s="3" t="str">
        <x:v>JSON được format; text lỗi giữ dạng text escape; rỗng có no shipping details, không crash hoặc thực thi HTML.</x:v>
      </x:c>
      <x:c r="L18" s="3" t="str">
        <x:v>src/features/orders/api/orders.service.ts:14
src/features/orders/api/use-orders-query.ts:7
src/features/orders/components/orders-screen.tsx:17</x:v>
      </x:c>
      <x:c r="M18" s="3" t="str">
        <x:v>Đề xuất Integration | Test liên quan, chưa xác nhận phủ ca: src/features/orders/api/orders.service.test.ts</x:v>
      </x:c>
      <x:c r="N18" s="10" t="str">
        <x:v>Not run</x:v>
      </x:c>
      <x:c r="O18" s="10" t="str">
        <x:v>MỘT PHẦN: Đã kiểm tra list/next-page/detail/ID validation hoặc mapping; chưa thực thi trọn các trạng thái và tổ hợp của ca.</x:v>
      </x:c>
      <x:c r="P18" s="10" t="str">
        <x:v>execution/results.json → ORD-014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ORD-015</x:v>
      </x:c>
      <x:c r="B19" s="3" t="str">
        <x:v>Invoice lines rỗng và số tiền lớn</x:v>
      </x:c>
      <x:c r="C19" s="3" t="str">
        <x:v>P2</x:v>
      </x:c>
      <x:c r="D19" s="3" t="str">
        <x:v>ORD.INVOICE</x:v>
      </x:c>
      <x:c r="E19" s="3" t="str">
        <x:v>Functional</x:v>
      </x:c>
      <x:c r="F19" s="3" t="str">
        <x:v>Integration</x:v>
      </x:c>
      <x:c r="G19" s="3" t="str">
        <x:v>Source</x:v>
      </x:c>
      <x:c r="H19" s="3" t="str">
        <x:v>User A có DS-ORD, user B sở hữu record khác; fixture 21 record, pageSize10; dùng backend sandbox hoặc HTTP mock cho frontend.</x:v>
      </x:c>
      <x:c r="I19" s="3" t="str">
        <x:v>lines=[]; unitPrice/lineTotal nhiều chữ số</x:v>
      </x:c>
      <x:c r="J19" s="3" t="str">
        <x:v>1. Mở detail.
2. So desktop/mobile và formatter.</x:v>
      </x:c>
      <x:c r="K19" s="3" t="str">
        <x:v>Rỗng có no invoice lines; số tiền/date UTC không mất phần thập phân; labels và subtotal/fees đọc được.</x:v>
      </x:c>
      <x:c r="L19" s="3" t="str">
        <x:v>src/features/orders/api/orders.service.ts:14
src/features/orders/api/use-orders-query.ts:7
src/features/orders/components/orders-screen.tsx:17</x:v>
      </x:c>
      <x:c r="M19" s="3" t="str">
        <x:v>Đề xuất Integration | Test liên quan, chưa xác nhận phủ ca: src/features/orders/api/orders.service.test.ts</x:v>
      </x:c>
      <x:c r="N19" s="10" t="str">
        <x:v>Not run</x:v>
      </x:c>
      <x:c r="O19" s="10" t="str">
        <x:v>Chưa thực thi đầy đủ các bước/expected của ca. Các test liên quan đã chạy, nhưng chưa có assertion đủ để gán Pass.</x:v>
      </x:c>
      <x:c r="P19" s="10" t="str">
        <x:v>execution/results.json → ORD-015
execution/assertions.json</x:v>
      </x:c>
      <x:c r="Q19" s="10" t="str"/>
      <x:c r="R19" s="11"/>
    </x:row>
  </x:sheetData>
  <x:conditionalFormatting sqref="N5:N19">
    <x:cfRule type="containsText" dxfId="24" priority="1" operator="containsText" text="Fail"/>
    <x:cfRule type="containsText" dxfId="25" priority="2" operator="containsText" text="Blocked"/>
  </x:conditionalFormatting>
  <x:conditionalFormatting sqref="C5:C19">
    <x:cfRule type="containsText" dxfId="26" priority="3" operator="containsText" text="P0"/>
  </x:conditionalFormatting>
  <x:dataValidations count="1">
    <x:dataValidation type="list" sqref="N5:N1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e768cf6a1441b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RFQ — Danh sách và chi tiết RFQ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RFQ-001</x:v>
      </x:c>
      <x:c r="B5" s="3" t="str">
        <x:v>Tải danh sách theo user</x:v>
      </x:c>
      <x:c r="C5" s="3" t="str">
        <x:v>P0</x:v>
      </x:c>
      <x:c r="D5" s="3" t="str">
        <x:v>RFQ.LIST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DS-RFQ, user B sở hữu record khác; fixture 21 record, pageSize10; dùng backend sandbox hoặc HTTP mock cho frontend.</x:v>
      </x:c>
      <x:c r="I5" s="3" t="str">
        <x:v>DS-RFQ; page1,total21</x:v>
      </x:c>
      <x:c r="J5" s="3" t="str">
        <x:v>1. Đăng nhập A.
2. Mở danh sách.</x:v>
      </x:c>
      <x:c r="K5" s="3" t="str">
        <x:v>GET /rfqs?page=1&amp;pageSize=10 có Bearer; đúng10 record, total21; không dùng dữ liệu người dùng B.</x:v>
      </x:c>
      <x:c r="L5" s="3" t="str">
        <x:v>src/features/rfqs/api/rfqs.service.ts:14
src/features/rfqs/api/use-rfqs-query.ts:7
src/features/rfqs/components/rfqs-screen.tsx:17</x:v>
      </x:c>
      <x:c r="M5" s="3" t="str">
        <x:v>Đề xuất Integration | Test liên quan, chưa xác nhận phủ ca: src/features/rfqs/api/rfqs.service.test.ts</x:v>
      </x:c>
      <x:c r="N5" s="10" t="str">
        <x:v>Not run</x:v>
      </x:c>
      <x:c r="O5" s="10" t="str">
        <x:v>MỘT PHẦN: Đã kiểm tra list/next-page/detail/ID validation hoặc mapping; chưa thực thi trọn các trạng thái và tổ hợp của ca.</x:v>
      </x:c>
      <x:c r="P5" s="10" t="str">
        <x:v>execution/results.json → RFQ-001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RFQ-002</x:v>
      </x:c>
      <x:c r="B6" s="3" t="str">
        <x:v>Phân trang đầu, giữa và cuối</x:v>
      </x:c>
      <x:c r="C6" s="3" t="str">
        <x:v>P1</x:v>
      </x:c>
      <x:c r="D6" s="3" t="str">
        <x:v>RFQ.PAGING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DS-RFQ, user B sở hữu record khác; fixture 21 record, pageSize10; dùng backend sandbox hoặc HTTP mock cho frontend.</x:v>
      </x:c>
      <x:c r="I6" s="3" t="str">
        <x:v>page1/2/3; total21</x:v>
      </x:c>
      <x:c r="J6" s="3" t="str">
        <x:v>1. Chọn Next tới trang cuối.
2. Previous về đầu.</x:v>
      </x:c>
      <x:c r="K6" s="3" t="str">
        <x:v>URL page và request đồng bộ; count1–10,11–20,21–21; Previous/Next disabled đúng biên; dữ liệu trang trước chỉ là placeholder khi đang fetch.</x:v>
      </x:c>
      <x:c r="L6" s="3" t="str">
        <x:v>src/features/rfqs/api/rfqs.service.ts:14
src/features/rfqs/api/use-rfqs-query.ts:7
src/features/rfqs/components/rfqs-screen.tsx:17</x:v>
      </x:c>
      <x:c r="M6" s="3" t="str">
        <x:v>Đề xuất Integration | Test liên quan, chưa xác nhận phủ ca: src/features/rfqs/api/rfqs.service.test.ts</x:v>
      </x:c>
      <x:c r="N6" s="10" t="str">
        <x:v>Not run</x:v>
      </x:c>
      <x:c r="O6" s="10" t="str">
        <x:v>MỘT PHẦN: Đã kiểm tra list/next-page/detail/ID validation hoặc mapping; chưa thực thi trọn các trạng thái và tổ hợp của ca.</x:v>
      </x:c>
      <x:c r="P6" s="10" t="str">
        <x:v>execution/results.json → RFQ-002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RFQ-003</x:v>
      </x:c>
      <x:c r="B7" s="3" t="str">
        <x:v>Page query không hợp lệ</x:v>
      </x:c>
      <x:c r="C7" s="3" t="str">
        <x:v>P1</x:v>
      </x:c>
      <x:c r="D7" s="3" t="str">
        <x:v>RFQ.PAGING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User A có DS-RFQ, user B sở hữu record khác; fixture 21 record, pageSize10; dùng backend sandbox hoặc HTTP mock cho frontend.</x:v>
      </x:c>
      <x:c r="I7" s="3" t="str">
        <x:v>page=0,-1,abc,1.5</x:v>
      </x:c>
      <x:c r="J7" s="3" t="str">
        <x:v>1. Mở từng query.
2. Xem request.</x:v>
      </x:c>
      <x:c r="K7" s="3" t="str">
        <x:v>Fallback1; không crash. page rất lớn hợp lệ theo schema cần backend xử lý rỗng, không hiển thị count sai.</x:v>
      </x:c>
      <x:c r="L7" s="3" t="str">
        <x:v>src/features/rfqs/api/rfqs.service.ts:14
src/features/rfqs/api/use-rfqs-query.ts:7
src/features/rfqs/components/rfqs-screen.tsx:17</x:v>
      </x:c>
      <x:c r="M7" s="3" t="str">
        <x:v>Đề xuất Integration | Test liên quan, chưa xác nhận phủ ca: src/features/rfqs/api/rfqs.service.test.ts</x:v>
      </x:c>
      <x:c r="N7" s="10" t="str">
        <x:v>Not run</x:v>
      </x:c>
      <x:c r="O7" s="10" t="str">
        <x:v>Chưa thực thi đầy đủ các bước/expected của ca. Các test liên quan đã chạy, nhưng chưa có assertion đủ để gán Pass.</x:v>
      </x:c>
      <x:c r="P7" s="10" t="str">
        <x:v>execution/results.json → RFQ-003
execution/assertions.json</x:v>
      </x:c>
      <x:c r="Q7" s="10" t="str"/>
      <x:c r="R7" s="11"/>
    </x:row>
    <x:row r="8" ht="94" customHeight="1">
      <x:c r="A8" s="3" t="str">
        <x:v>RFQ-004</x:v>
      </x:c>
      <x:c r="B8" s="3" t="str">
        <x:v>Loading, empty và error</x:v>
      </x:c>
      <x:c r="C8" s="3" t="str">
        <x:v>P1</x:v>
      </x:c>
      <x:c r="D8" s="3" t="str">
        <x:v>RFQ.STATE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User A có DS-RFQ, user B sở hữu record khác; fixture 21 record, pageSize10; dùng backend sandbox hoặc HTTP mock cho frontend.</x:v>
      </x:c>
      <x:c r="I8" s="3" t="str">
        <x:v>GET /rfqs chậm, items=[], 500</x:v>
      </x:c>
      <x:c r="J8" s="3" t="str">
        <x:v>1. Reset cache và thử từng response.
2. Quan sát UI.</x:v>
      </x:c>
      <x:c r="K8" s="3" t="str">
        <x:v>Skeleton lúc pending; empty message chỉ với response rỗng hợp lệ; lỗi có Alert, không giả empty.</x:v>
      </x:c>
      <x:c r="L8" s="3" t="str">
        <x:v>src/features/rfqs/api/rfqs.service.ts:14
src/features/rfqs/api/use-rfqs-query.ts:7
src/features/rfqs/components/rfqs-screen.tsx:17</x:v>
      </x:c>
      <x:c r="M8" s="3" t="str">
        <x:v>Đề xuất Integration | Test liên quan, chưa xác nhận phủ ca: src/features/rfqs/api/rfqs.service.test.ts</x:v>
      </x:c>
      <x:c r="N8" s="10" t="str">
        <x:v>Not run</x:v>
      </x:c>
      <x:c r="O8" s="10" t="str">
        <x:v>Chưa thực thi đầy đủ các bước/expected của ca. Các test liên quan đã chạy, nhưng chưa có assertion đủ để gán Pass.</x:v>
      </x:c>
      <x:c r="P8" s="10" t="str">
        <x:v>execution/results.json → RFQ-004
execution/assertions.json</x:v>
      </x:c>
      <x:c r="Q8" s="10" t="str"/>
      <x:c r="R8" s="11"/>
    </x:row>
    <x:row r="9" ht="94" customHeight="1">
      <x:c r="A9" s="3" t="str">
        <x:v>RFQ-005</x:v>
      </x:c>
      <x:c r="B9" s="3" t="str">
        <x:v>Lỗi refresh khi đang có dữ liệu</x:v>
      </x:c>
      <x:c r="C9" s="3" t="str">
        <x:v>P0</x:v>
      </x:c>
      <x:c r="D9" s="3" t="str">
        <x:v>RFQ.STATE</x:v>
      </x:c>
      <x:c r="E9" s="3" t="str">
        <x:v>Reliability</x:v>
      </x:c>
      <x:c r="F9" s="3" t="str">
        <x:v>Integration</x:v>
      </x:c>
      <x:c r="G9" s="3" t="str">
        <x:v>Source</x:v>
      </x:c>
      <x:c r="H9" s="3" t="str">
        <x:v>User A có DS-RFQ, user B sở hữu record khác; fixture 21 record, pageSize10; dùng backend sandbox hoặc HTTP mock cho frontend.</x:v>
      </x:c>
      <x:c r="I9" s="3" t="str">
        <x:v>Đã tải page1; refetch=500 hoặc401</x:v>
      </x:c>
      <x:c r="J9" s="3" t="str">
        <x:v>1. Làm cache stale.
2. Refetch thất bại.</x:v>
      </x:c>
      <x:c r="K9" s="3" t="str">
        <x:v>Không gọi dữ liệu stale là mới; lỗi hiển thị; 401 sau refresh thất bại xóa private data, không giữ PII ở màn hình.</x:v>
      </x:c>
      <x:c r="L9" s="3" t="str">
        <x:v>src/features/rfqs/api/rfqs.service.ts:14
src/features/rfqs/api/use-rfqs-query.ts:7
src/features/rfqs/components/rfqs-screen.tsx:17</x:v>
      </x:c>
      <x:c r="M9" s="3" t="str">
        <x:v>Đề xuất Integration | Test liên quan, chưa xác nhận phủ ca: src/features/rfqs/api/rfqs.service.test.ts</x:v>
      </x:c>
      <x:c r="N9" s="10" t="str">
        <x:v>Not run</x:v>
      </x:c>
      <x:c r="O9" s="10" t="str">
        <x:v>Chưa thực thi đầy đủ các bước/expected của ca. Các test liên quan đã chạy, nhưng chưa có assertion đủ để gán Pass.</x:v>
      </x:c>
      <x:c r="P9" s="10" t="str">
        <x:v>execution/results.json → RFQ-005
execution/assertions.json</x:v>
      </x:c>
      <x:c r="Q9" s="10" t="str"/>
      <x:c r="R9" s="11"/>
    </x:row>
    <x:row r="10" ht="94" customHeight="1">
      <x:c r="A10" s="3" t="str">
        <x:v>RFQ-006</x:v>
      </x:c>
      <x:c r="B10" s="3" t="str">
        <x:v>Các trạng thái và fallback</x:v>
      </x:c>
      <x:c r="C10" s="3" t="str">
        <x:v>P2</x:v>
      </x:c>
      <x:c r="D10" s="3" t="str">
        <x:v>RFQ.STATUS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DS-RFQ, user B sở hữu record khác; fixture 21 record, pageSize10; dùng backend sandbox hoặc HTTP mock cho frontend.</x:v>
      </x:c>
      <x:c r="I10" s="3" t="str">
        <x:v>status=Submitted,Quoted,Pending,Declined,Accepted,Expired,Cancelled; unknown=NewBackendStatus</x:v>
      </x:c>
      <x:c r="J10" s="3" t="str">
        <x:v>1. Render từng status.
2. Lặp locale vi.</x:v>
      </x:c>
      <x:c r="K10" s="3" t="str">
        <x:v>Trim/normalize dấu cách/underscore/casing theo source; status lạ vẫn có label và không crash; màu không là tín hiệu duy nhất.</x:v>
      </x:c>
      <x:c r="L10" s="3" t="str">
        <x:v>src/features/rfqs/api/rfqs.service.ts:14
src/features/rfqs/api/use-rfqs-query.ts:7
src/features/rfqs/components/rfqs-screen.tsx:17</x:v>
      </x:c>
      <x:c r="M10" s="3" t="str">
        <x:v>Đề xuất Integration | Test liên quan, chưa xác nhận phủ ca: src/features/rfqs/api/rfqs.service.test.ts</x:v>
      </x:c>
      <x:c r="N10" s="10" t="str">
        <x:v>Not run</x:v>
      </x:c>
      <x:c r="O10" s="10" t="str">
        <x:v>Chưa thực thi đầy đủ các bước/expected của ca. Các test liên quan đã chạy, nhưng chưa có assertion đủ để gán Pass.</x:v>
      </x:c>
      <x:c r="P10" s="10" t="str">
        <x:v>execution/results.json → RFQ-006
execution/assertions.json</x:v>
      </x:c>
      <x:c r="Q10" s="10" t="str"/>
      <x:c r="R10" s="11"/>
    </x:row>
    <x:row r="11" ht="94" customHeight="1">
      <x:c r="A11" s="3" t="str">
        <x:v>RFQ-007</x:v>
      </x:c>
      <x:c r="B11" s="3" t="str">
        <x:v>Detail đúng ID và link</x:v>
      </x:c>
      <x:c r="C11" s="3" t="str">
        <x:v>P0</x:v>
      </x:c>
      <x:c r="D11" s="3" t="str">
        <x:v>RFQ.DETAIL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DS-RFQ, user B sở hữu record khác; fixture 21 record, pageSize10; dùng backend sandbox hoặc HTTP mock cho frontend.</x:v>
      </x:c>
      <x:c r="I11" s="3" t="str">
        <x:v>ID GUID hợp lệ thuộc A</x:v>
      </x:c>
      <x:c r="J11" s="3" t="str">
        <x:v>1. Click link số record.
2. Reload URL detail.</x:v>
      </x:c>
      <x:c r="K11" s="3" t="str">
        <x:v>GET /rfqs/&lt;GUID&gt; đúng record; breadcrumb có số tương ứng; route uppercase không làm backend sai lookup GUID.</x:v>
      </x:c>
      <x:c r="L11" s="3" t="str">
        <x:v>src/features/rfqs/api/rfqs.service.ts:14
src/features/rfqs/api/use-rfqs-query.ts:7
src/features/rfqs/components/rfqs-screen.tsx:17</x:v>
      </x:c>
      <x:c r="M11" s="3" t="str">
        <x:v>Đề xuất Integration | Test liên quan, chưa xác nhận phủ ca: src/features/rfqs/api/rfqs.service.test.ts</x:v>
      </x:c>
      <x:c r="N11" s="10" t="str">
        <x:v>Pass</x:v>
      </x:c>
      <x:c r="O11" s="10" t="str">
        <x:v>ID/detail link và request detail được xác minh bằng response tổng hợp.</x:v>
      </x:c>
      <x:c r="P11" s="10" t="str">
        <x:v>execution/results.json → RFQ-007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RFQ-008</x:v>
      </x:c>
      <x:c r="B12" s="3" t="str">
        <x:v>ID sai và record không tồn tại</x:v>
      </x:c>
      <x:c r="C12" s="3" t="str">
        <x:v>P1</x:v>
      </x:c>
      <x:c r="D12" s="3" t="str">
        <x:v>RFQ.DETAIL</x:v>
      </x:c>
      <x:c r="E12" s="3" t="str">
        <x:v>Negative</x:v>
      </x:c>
      <x:c r="F12" s="3" t="str">
        <x:v>Integration</x:v>
      </x:c>
      <x:c r="G12" s="3" t="str">
        <x:v>Source</x:v>
      </x:c>
      <x:c r="H12" s="3" t="str">
        <x:v>User A có DS-RFQ, user B sở hữu record khác; fixture 21 record, pageSize10; dùng backend sandbox hoặc HTTP mock cho frontend.</x:v>
      </x:c>
      <x:c r="I12" s="3" t="str">
        <x:v>id=OR-3000 hoặc chuỗi bất kỳ; GUID404</x:v>
      </x:c>
      <x:c r="J12" s="3" t="str">
        <x:v>1. Mở detail từng ID.
2. Theo dõi HTTP.</x:v>
      </x:c>
      <x:c r="K12" s="3" t="str">
        <x:v>ID sai reject trước HTTP; GUID không tồn tại hiển thị lỗi và link về danh sách; không crash toàn layout.</x:v>
      </x:c>
      <x:c r="L12" s="3" t="str">
        <x:v>src/features/rfqs/api/rfqs.service.ts:14
src/features/rfqs/api/use-rfqs-query.ts:7
src/features/rfqs/components/rfqs-screen.tsx:17</x:v>
      </x:c>
      <x:c r="M12" s="3" t="str">
        <x:v>Đề xuất Integration | Test liên quan, chưa xác nhận phủ ca: src/features/rfqs/api/rfqs.service.test.ts</x:v>
      </x:c>
      <x:c r="N12" s="10" t="str">
        <x:v>Not run</x:v>
      </x:c>
      <x:c r="O12" s="10" t="str">
        <x:v>MỘT PHẦN: Đã kiểm tra list/next-page/detail/ID validation hoặc mapping; chưa thực thi trọn các trạng thái và tổ hợp của ca.</x:v>
      </x:c>
      <x:c r="P12" s="10" t="str">
        <x:v>execution/results.json → RFQ-008
execution/assertions.json</x:v>
      </x:c>
      <x:c r="Q12" s="10" t="str">
        <x:v>Codex — local automated QA</x:v>
      </x:c>
      <x:c r="R12" s="11" t="d">
        <x:v>2026-10-18T05:30:31.999Z</x:v>
      </x:c>
    </x:row>
    <x:row r="13" ht="106" customHeight="1">
      <x:c r="A13" s="3" t="str">
        <x:v>RFQ-009</x:v>
      </x:c>
      <x:c r="B13" s="3" t="str">
        <x:v>Không xem record người khác</x:v>
      </x:c>
      <x:c r="C13" s="3" t="str">
        <x:v>P0</x:v>
      </x:c>
      <x:c r="D13" s="3" t="str">
        <x:v>RFQ.AUTHZ</x:v>
      </x:c>
      <x:c r="E13" s="3" t="str">
        <x:v>Functional</x:v>
      </x:c>
      <x:c r="F13" s="3" t="str">
        <x:v>API + E2E</x:v>
      </x:c>
      <x:c r="G13" s="3" t="str">
        <x:v>Security target</x:v>
      </x:c>
      <x:c r="H13" s="3" t="str">
        <x:v>User A có DS-RFQ, user B sở hữu record khác; fixture 21 record, pageSize10; dùng backend sandbox hoặc HTTP mock cho frontend.</x:v>
      </x:c>
      <x:c r="I13" s="3" t="str">
        <x:v>ID thuộc B; token A hoặc guest</x:v>
      </x:c>
      <x:c r="J13" s="3" t="str">
        <x:v>1. Đổi URL detail sang record B.
2. Gọi API trực tiếp với A/không token.</x:v>
      </x:c>
      <x:c r="K13" s="3" t="str">
        <x:v>Backend trả403/404 theo policy; không gửi dữ liệu B cho A. UI error phù hợp; không suy ra quyền chỉ từ route.</x:v>
      </x:c>
      <x:c r="L13" s="3" t="str">
        <x:v>src/features/rfqs/api/rfqs.service.ts:14
src/features/rfqs/api/use-rfqs-query.ts:7
src/features/rfqs/components/rfqs-screen.tsx:17</x:v>
      </x:c>
      <x:c r="M13" s="3" t="str">
        <x:v>Đề xuất API + E2E | Test liên quan, chưa xác nhận phủ ca: src/features/rfqs/api/rfqs.service.test.ts</x:v>
      </x:c>
      <x:c r="N13" s="10" t="str">
        <x:v>Blocked</x:v>
      </x:c>
      <x:c r="O13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13" s="10" t="str">
        <x:v>execution/results.json → RFQ-009
execution/assertions.json</x:v>
      </x:c>
      <x:c r="Q13" s="10" t="str">
        <x:v>Codex — local automated QA</x:v>
      </x:c>
      <x:c r="R13" s="11"/>
    </x:row>
    <x:row r="14" ht="94" customHeight="1">
      <x:c r="A14" s="3" t="str">
        <x:v>RFQ-010</x:v>
      </x:c>
      <x:c r="B14" s="3" t="str">
        <x:v>Đổi page/detail nhanh</x:v>
      </x:c>
      <x:c r="C14" s="3" t="str">
        <x:v>P1</x:v>
      </x:c>
      <x:c r="D14" s="3" t="str">
        <x:v>RFQ.RACE</x:v>
      </x:c>
      <x:c r="E14" s="3" t="str">
        <x:v>Concurrency</x:v>
      </x:c>
      <x:c r="F14" s="3" t="str">
        <x:v>Integration</x:v>
      </x:c>
      <x:c r="G14" s="3" t="str">
        <x:v>Source</x:v>
      </x:c>
      <x:c r="H14" s="3" t="str">
        <x:v>User A có DS-RFQ, user B sở hữu record khác; fixture 21 record, pageSize10; dùng backend sandbox hoặc HTTP mock cho frontend.</x:v>
      </x:c>
      <x:c r="I14" s="3" t="str">
        <x:v>Response trang2 chậm hơn3; ID A chậm hơn B</x:v>
      </x:c>
      <x:c r="J14" s="3" t="str">
        <x:v>1. Điều hướng liên tiếp.
2. Resolve đảo thứ tự.</x:v>
      </x:c>
      <x:c r="K14" s="3" t="str">
        <x:v>Query key tách page/id; UI cuối khớp URL; AbortSignal tới service; response cũ không thay record mới.</x:v>
      </x:c>
      <x:c r="L14" s="3" t="str">
        <x:v>src/features/rfqs/api/rfqs.service.ts:14
src/features/rfqs/api/use-rfqs-query.ts:7
src/features/rfqs/components/rfqs-screen.tsx:17</x:v>
      </x:c>
      <x:c r="M14" s="3" t="str">
        <x:v>Đề xuất Integration | Test liên quan, chưa xác nhận phủ ca: src/features/rfqs/api/rfqs.service.test.ts</x:v>
      </x:c>
      <x:c r="N14" s="10" t="str">
        <x:v>Not run</x:v>
      </x:c>
      <x:c r="O14" s="10" t="str">
        <x:v>Chưa thực thi đầy đủ các bước/expected của ca. Các test liên quan đã chạy, nhưng chưa có assertion đủ để gán Pass.</x:v>
      </x:c>
      <x:c r="P14" s="10" t="str">
        <x:v>execution/results.json → RFQ-010
execution/assertions.json</x:v>
      </x:c>
      <x:c r="Q14" s="10" t="str"/>
      <x:c r="R14" s="11"/>
    </x:row>
    <x:row r="15" ht="94" customHeight="1">
      <x:c r="A15" s="3" t="str">
        <x:v>RFQ-011</x:v>
      </x:c>
      <x:c r="B15" s="3" t="str">
        <x:v>Reject response sai contract</x:v>
      </x:c>
      <x:c r="C15" s="3" t="str">
        <x:v>P1</x:v>
      </x:c>
      <x:c r="D15" s="3" t="str">
        <x:v>RFQ.SCHEMA</x:v>
      </x:c>
      <x:c r="E15" s="3" t="str">
        <x:v>Contract</x:v>
      </x:c>
      <x:c r="F15" s="3" t="str">
        <x:v>Unit</x:v>
      </x:c>
      <x:c r="G15" s="3" t="str">
        <x:v>Source</x:v>
      </x:c>
      <x:c r="H15" s="3" t="str">
        <x:v>User A có DS-RFQ, user B sở hữu record khác; fixture 21 record, pageSize10; dùng backend sandbox hoặc HTTP mock cho frontend.</x:v>
      </x:c>
      <x:c r="I15" s="3" t="str">
        <x:v>items malformed; quantity0; total âm; date không ISO; GUID sai</x:v>
      </x:c>
      <x:c r="J15" s="3" t="str">
        <x:v>1. Gửi từng fixture sai vào service.</x:v>
      </x:c>
      <x:c r="K15" s="3" t="str">
        <x:v>Reject trước render và hiển thị error state; không format ngày/tiền từ dữ liệu sai.</x:v>
      </x:c>
      <x:c r="L15" s="3" t="str">
        <x:v>src/features/rfqs/api/rfqs.service.ts:14
src/features/rfqs/api/use-rfqs-query.ts:7
src/features/rfqs/components/rfqs-screen.tsx:17</x:v>
      </x:c>
      <x:c r="M15" s="3" t="str">
        <x:v>Đề xuất Unit | Test liên quan, chưa xác nhận phủ ca: src/features/rfqs/api/rfqs.service.test.ts</x:v>
      </x:c>
      <x:c r="N15" s="10" t="str">
        <x:v>Not run</x:v>
      </x:c>
      <x:c r="O15" s="10" t="str">
        <x:v>MỘT PHẦN: Đã kiểm tra list/next-page/detail/ID validation hoặc mapping; chưa thực thi trọn các trạng thái và tổ hợp của ca.</x:v>
      </x:c>
      <x:c r="P15" s="10" t="str">
        <x:v>execution/results.json → RFQ-011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RFQ-012</x:v>
      </x:c>
      <x:c r="B16" s="3" t="str">
        <x:v>Bảng desktop và card mobile</x:v>
      </x:c>
      <x:c r="C16" s="3" t="str">
        <x:v>P2</x:v>
      </x:c>
      <x:c r="D16" s="3" t="str">
        <x:v>RFQ.RESPONSIVE</x:v>
      </x:c>
      <x:c r="E16" s="3" t="str">
        <x:v>Functional</x:v>
      </x:c>
      <x:c r="F16" s="3" t="str">
        <x:v>Browser</x:v>
      </x:c>
      <x:c r="G16" s="3" t="str">
        <x:v>Source</x:v>
      </x:c>
      <x:c r="H16" s="3" t="str">
        <x:v>User A có DS-RFQ, user B sở hữu record khác; fixture 21 record, pageSize10; dùng backend sandbox hoặc HTTP mock cho frontend.</x:v>
      </x:c>
      <x:c r="I16" s="3" t="str">
        <x:v>Viewport390,768,1280; chuỗi dài</x:v>
      </x:c>
      <x:c r="J16" s="3" t="str">
        <x:v>1. Mở list và detail.
2. So record/links ở hai layout.</x:v>
      </x:c>
      <x:c r="K16" s="3" t="str">
        <x:v>Cùng dữ liệu và hành động, không mất số/ngày/status; cuộn bảng trong vùng cần thiết, không tràn toàn trang.</x:v>
      </x:c>
      <x:c r="L16" s="3" t="str">
        <x:v>src/features/rfqs/api/rfqs.service.ts:14
src/features/rfqs/api/use-rfqs-query.ts:7
src/features/rfqs/components/rfqs-screen.tsx:17</x:v>
      </x:c>
      <x:c r="M16" s="3" t="str">
        <x:v>Đề xuất Browser | Test liên quan, chưa xác nhận phủ ca: src/features/rfqs/api/rfqs.service.test.ts</x:v>
      </x:c>
      <x:c r="N16" s="10" t="str">
        <x:v>Not run</x:v>
      </x:c>
      <x:c r="O16" s="10" t="str">
        <x:v>Chưa thực thi đầy đủ các bước/expected của ca. Các test liên quan đã chạy, nhưng chưa có assertion đủ để gán Pass.</x:v>
      </x:c>
      <x:c r="P16" s="10" t="str">
        <x:v>execution/results.json → RFQ-012
execution/assertions.json</x:v>
      </x:c>
      <x:c r="Q16" s="10" t="str"/>
      <x:c r="R16" s="11"/>
    </x:row>
    <x:row r="17" ht="94" customHeight="1">
      <x:c r="A17" s="3" t="str">
        <x:v>RFQ-013</x:v>
      </x:c>
      <x:c r="B17" s="3" t="str">
        <x:v>Items, specNote và remarks nullable</x:v>
      </x:c>
      <x:c r="C17" s="3" t="str">
        <x:v>P2</x:v>
      </x:c>
      <x:c r="D17" s="3" t="str">
        <x:v>RFQ.ITEMS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User A có DS-RFQ, user B sở hữu record khác; fixture 21 record, pageSize10; dùng backend sandbox hoặc HTTP mock cho frontend.</x:v>
      </x:c>
      <x:c r="I17" s="3" t="str">
        <x:v>items=[] hoặc2; specNote/notes/adminRemarks/supplierRemarks=null/whitespace</x:v>
      </x:c>
      <x:c r="J17" s="3" t="str">
        <x:v>1. Mở detail từng fixture.</x:v>
      </x:c>
      <x:c r="K17" s="3" t="str">
        <x:v>Requested count đúng; empty message khi không item; specNote fallback; remarks trống có no remarks; không hiện literal null.</x:v>
      </x:c>
      <x:c r="L17" s="3" t="str">
        <x:v>src/features/rfqs/api/rfqs.service.ts:14
src/features/rfqs/api/use-rfqs-query.ts:7
src/features/rfqs/components/rfqs-screen.tsx:17</x:v>
      </x:c>
      <x:c r="M17" s="3" t="str">
        <x:v>Đề xuất Integration | Test liên quan, chưa xác nhận phủ ca: src/features/rfqs/api/rfqs.service.test.ts</x:v>
      </x:c>
      <x:c r="N17" s="10" t="str">
        <x:v>Not run</x:v>
      </x:c>
      <x:c r="O17" s="10" t="str">
        <x:v>MỘT PHẦN: Đã kiểm tra list/next-page/detail/ID validation hoặc mapping; chưa thực thi trọn các trạng thái và tổ hợp của ca.</x:v>
      </x:c>
      <x:c r="P17" s="10" t="str">
        <x:v>execution/results.json → RFQ-013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RFQ-014</x:v>
      </x:c>
      <x:c r="B18" s="3" t="str">
        <x:v>Escape dữ liệu remarks</x:v>
      </x:c>
      <x:c r="C18" s="3" t="str">
        <x:v>P1</x:v>
      </x:c>
      <x:c r="D18" s="3" t="str">
        <x:v>RFQ.REMARKS</x:v>
      </x:c>
      <x:c r="E18" s="3" t="str">
        <x:v>Security</x:v>
      </x:c>
      <x:c r="F18" s="3" t="str">
        <x:v>Integration</x:v>
      </x:c>
      <x:c r="G18" s="3" t="str">
        <x:v>Source</x:v>
      </x:c>
      <x:c r="H18" s="3" t="str">
        <x:v>User A có DS-RFQ, user B sở hữu record khác; fixture 21 record, pageSize10; dùng backend sandbox hoặc HTTP mock cho frontend.</x:v>
      </x:c>
      <x:c r="I18" s="3" t="str">
        <x:v>notes="&lt;img src=x onerror=alert(1)&gt;"; source rất dài</x:v>
      </x:c>
      <x:c r="J18" s="3" t="str">
        <x:v>1. Mở RFQ detail với fixture độc hại.</x:v>
      </x:c>
      <x:c r="K18" s="3" t="str">
        <x:v>Nội dung là text, script không chạy; không tràn card; supplier/userID không bị cắt mất khả năng tra cứu.</x:v>
      </x:c>
      <x:c r="L18" s="3" t="str">
        <x:v>src/features/rfqs/api/rfqs.service.ts:14
src/features/rfqs/api/use-rfqs-query.ts:7
src/features/rfqs/components/rfqs-screen.tsx:17</x:v>
      </x:c>
      <x:c r="M18" s="3" t="str">
        <x:v>Đề xuất Integration | Test liên quan, chưa xác nhận phủ ca: src/features/rfqs/api/rfqs.service.test.ts</x:v>
      </x:c>
      <x:c r="N18" s="10" t="str">
        <x:v>Not run</x:v>
      </x:c>
      <x:c r="O18" s="10" t="str">
        <x:v>Chưa thực thi đầy đủ các bước/expected của ca. Các test liên quan đã chạy, nhưng chưa có assertion đủ để gán Pass.</x:v>
      </x:c>
      <x:c r="P18" s="10" t="str">
        <x:v>execution/results.json → RFQ-014
execution/assertions.json</x:v>
      </x:c>
      <x:c r="Q18" s="10" t="str"/>
      <x:c r="R18" s="11"/>
    </x:row>
  </x:sheetData>
  <x:conditionalFormatting sqref="N5:N18">
    <x:cfRule type="containsText" dxfId="27" priority="1" operator="containsText" text="Fail"/>
    <x:cfRule type="containsText" dxfId="28" priority="2" operator="containsText" text="Blocked"/>
  </x:conditionalFormatting>
  <x:conditionalFormatting sqref="C5:C18">
    <x:cfRule type="containsText" dxfId="29" priority="3" operator="containsText" text="P0"/>
  </x:conditionalFormatting>
  <x:dataValidations count="1">
    <x:dataValidation type="list" sqref="N5:N1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ccbb8133324b8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PRO — Hồ sơ, bảo mật và avatar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PRO-001</x:v>
      </x:c>
      <x:c r="B5" s="3" t="str">
        <x:v>Map profile về UI</x:v>
      </x:c>
      <x:c r="C5" s="3" t="str">
        <x:v>P1</x:v>
      </x:c>
      <x:c r="D5" s="3" t="str">
        <x:v>PRO.LOAD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với DS-PROFILE đầy đủ hoặc incomplete; QueryClient mới; file avatar tổng hợp an toàn DS-FILES. API media/profile hỗ trợ mock response độc lập.</x:v>
      </x:c>
      <x:c r="I5" s="3" t="str">
        <x:v>phoneNumber/profilePictureUrl/memberSince; address objects</x:v>
      </x:c>
      <x:c r="J5" s="3" t="str">
        <x:v>1. Mở profile.
2. So dữ liệu response.</x:v>
      </x:c>
      <x:c r="K5" s="3" t="str">
        <x:v>Map phone/avatar/joinedAt chính xác; full delivery/billing giữ đủ; role unknown và lastActive no data vì API chưa có field tương ứng.</x:v>
      </x:c>
      <x:c r="L5" s="3" t="str">
        <x:v>src/features/profile/api/profile.service.ts:41
src/features/profile/schemas/profile-response.schema.ts:8</x:v>
      </x:c>
      <x:c r="M5" s="3" t="str">
        <x:v>Đề xuất Integration | Test liên quan, chưa xác nhận phủ ca: src/features/profile/api/profile.service.test.ts</x:v>
      </x:c>
      <x:c r="N5" s="10" t="str">
        <x:v>Pass</x:v>
      </x:c>
      <x:c r="O5" s="10" t="str">
        <x:v>Mapping/null normalization, tách form, delivery/billing payload và đổi mật khẩu đã pass qua service/UI boundary.</x:v>
      </x:c>
      <x:c r="P5" s="10" t="str">
        <x:v>execution/results.json → PRO-001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PRO-002</x:v>
      </x:c>
      <x:c r="B6" s="3" t="str">
        <x:v>Normalize optional null</x:v>
      </x:c>
      <x:c r="C6" s="3" t="str">
        <x:v>P1</x:v>
      </x:c>
      <x:c r="D6" s="3" t="str">
        <x:v>PRO.LOAD</x:v>
      </x:c>
      <x:c r="E6" s="3" t="str">
        <x:v>Boundary</x:v>
      </x:c>
      <x:c r="F6" s="3" t="str">
        <x:v>Integration</x:v>
      </x:c>
      <x:c r="G6" s="3" t="str">
        <x:v>Source</x:v>
      </x:c>
      <x:c r="H6" s="3" t="str">
        <x:v>User A với DS-PROFILE đầy đủ hoặc incomplete; QueryClient mới; file avatar tổng hợp an toàn DS-FILES. API media/profile hỗ trợ mock response độc lập.</x:v>
      </x:c>
      <x:c r="I6" s="3" t="str">
        <x:v>Optional text/address/date/avatar null hoặc thiếu</x:v>
      </x:c>
      <x:c r="J6" s="3" t="str">
        <x:v>1. Tải incomplete profile.</x:v>
      </x:c>
      <x:c r="K6" s="3" t="str">
        <x:v>Text rỗng, address default, avatar fallback company-logo; không crash; không điền thông tin người dùng demo.</x:v>
      </x:c>
      <x:c r="L6" s="3" t="str">
        <x:v>src/features/profile/api/profile.service.ts:41
src/features/profile/schemas/profile-response.schema.ts:8</x:v>
      </x:c>
      <x:c r="M6" s="3" t="str">
        <x:v>Đề xuất Integration | Test liên quan, chưa xác nhận phủ ca: src/features/profile/api/profile.service.test.ts</x:v>
      </x:c>
      <x:c r="N6" s="10" t="str">
        <x:v>Pass</x:v>
      </x:c>
      <x:c r="O6" s="10" t="str">
        <x:v>Mapping/null normalization, tách form, delivery/billing payload và đổi mật khẩu đã pass qua service/UI boundary.</x:v>
      </x:c>
      <x:c r="P6" s="10" t="str">
        <x:v>execution/results.json → PRO-002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PRO-003</x:v>
      </x:c>
      <x:c r="B7" s="3" t="str">
        <x:v>Loading, retry và unauthorized</x:v>
      </x:c>
      <x:c r="C7" s="3" t="str">
        <x:v>P1</x:v>
      </x:c>
      <x:c r="D7" s="3" t="str">
        <x:v>PRO.STATE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User A với DS-PROFILE đầy đủ hoặc incomplete; QueryClient mới; file avatar tổng hợp an toàn DS-FILES. API media/profile hỗ trợ mock response độc lập.</x:v>
      </x:c>
      <x:c r="I7" s="3" t="str">
        <x:v>GET pending;500;401 không refresh được</x:v>
      </x:c>
      <x:c r="J7" s="3" t="str">
        <x:v>1. Mở profile từng tình huống.
2. Click retry/login again.</x:v>
      </x:c>
      <x:c r="K7" s="3" t="str">
        <x:v>Có loading accessible;500 retry chủ động, không tự retry;401 có link login; không render private data sau clear.</x:v>
      </x:c>
      <x:c r="L7" s="3" t="str">
        <x:v>src/features/profile/api/use-current-user-query.ts:6
src/features/profile/components/profile-screen.tsx:17</x:v>
      </x:c>
      <x:c r="M7" s="3" t="str">
        <x:v>Đề xuất Integration | Test liên quan, chưa xác nhận phủ ca: src/features/profile/components/profile-screen.test.tsx</x:v>
      </x:c>
      <x:c r="N7" s="10" t="str">
        <x:v>Not run</x:v>
      </x:c>
      <x:c r="O7" s="10" t="str">
        <x:v>Chưa thực thi đầy đủ các bước/expected của ca. Các test liên quan đã chạy, nhưng chưa có assertion đủ để gán Pass.</x:v>
      </x:c>
      <x:c r="P7" s="10" t="str">
        <x:v>execution/results.json → PRO-003
execution/assertions.json</x:v>
      </x:c>
      <x:c r="Q7" s="10" t="str"/>
      <x:c r="R7" s="11"/>
    </x:row>
    <x:row r="8" ht="102" customHeight="1">
      <x:c r="A8" s="3" t="str">
        <x:v>PRO-004</x:v>
      </x:c>
      <x:c r="B8" s="3" t="str">
        <x:v>Tách profile edit với password edit</x:v>
      </x:c>
      <x:c r="C8" s="3" t="str">
        <x:v>P1</x:v>
      </x:c>
      <x:c r="D8" s="3" t="str">
        <x:v>PRO.EDIT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User A với DS-PROFILE đầy đủ hoặc incomplete; QueryClient mới; file avatar tổng hợp an toàn DS-FILES. API media/profile hỗ trợ mock response độc lập.</x:v>
      </x:c>
      <x:c r="I8" s="3" t="str">
        <x:v>User A</x:v>
      </x:c>
      <x:c r="J8" s="3" t="str">
        <x:v>1. Edit profile.
2. Edit security.
3. Cancel từng phần.</x:v>
      </x:c>
      <x:c r="K8" s="3" t="str">
        <x:v>Hai trạng thái độc lập; cancel profile khôi phục view, cancel security reset passwords/error; không hủy form còn lại.</x:v>
      </x:c>
      <x:c r="L8" s="3" t="str">
        <x:v>src/features/profile/components/profile-screen.tsx:17
src/features/profile/components/profile-form.tsx:47
src/features/profile/components/profile-security-card.tsx:20</x:v>
      </x:c>
      <x:c r="M8" s="3" t="str">
        <x:v>Đề xuất Integration | Test liên quan, chưa xác nhận phủ ca: src/features/profile/components/profile-screen.test.tsx</x:v>
      </x:c>
      <x:c r="N8" s="10" t="str">
        <x:v>Pass</x:v>
      </x:c>
      <x:c r="O8" s="10" t="str">
        <x:v>Mapping/null normalization, tách form, delivery/billing payload và đổi mật khẩu đã pass qua service/UI boundary.</x:v>
      </x:c>
      <x:c r="P8" s="10" t="str">
        <x:v>execution/results.json → PRO-004
execution/assertions.json</x:v>
      </x:c>
      <x:c r="Q8" s="10" t="str">
        <x:v>Codex — local automated QA</x:v>
      </x:c>
      <x:c r="R8" s="11" t="d">
        <x:v>2026-10-18T05:30:31.999Z</x:v>
      </x:c>
    </x:row>
    <x:row r="9" ht="102" customHeight="1">
      <x:c r="A9" s="3" t="str">
        <x:v>PRO-005</x:v>
      </x:c>
      <x:c r="B9" s="3" t="str">
        <x:v>Save disabled khi pristine và sau success</x:v>
      </x:c>
      <x:c r="C9" s="3" t="str">
        <x:v>P1</x:v>
      </x:c>
      <x:c r="D9" s="3" t="str">
        <x:v>PRO.EDIT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User A với DS-PROFILE đầy đủ hoặc incomplete; QueryClient mới; file avatar tổng hợp an toàn DS-FILES. API media/profile hỗ trợ mock response độc lập.</x:v>
      </x:c>
      <x:c r="I9" s="3" t="str">
        <x:v>Profile đầy đủ</x:v>
      </x:c>
      <x:c r="J9" s="3" t="str">
        <x:v>1. Mở edit.
2. Chỉnh một field rồi save.
3. Resolve normalized profile response.</x:v>
      </x:c>
      <x:c r="K9" s="3" t="str">
        <x:v>Save chỉ bật khi dirty; pending disabled; response mới cập nhật cache/header/sidebar và form reset pristine.</x:v>
      </x:c>
      <x:c r="L9" s="3" t="str">
        <x:v>src/features/profile/components/profile-screen.tsx:17
src/features/profile/components/profile-form.tsx:47
src/features/profile/components/profile-security-card.tsx:20</x:v>
      </x:c>
      <x:c r="M9" s="3" t="str">
        <x:v>Đề xuất Integration | Test liên quan, chưa xác nhận phủ ca: src/features/profile/components/profile-screen.test.tsx</x:v>
      </x:c>
      <x:c r="N9" s="10" t="str">
        <x:v>Not run</x:v>
      </x:c>
      <x:c r="O9" s="10" t="str">
        <x:v>MỘT PHẦN: Đã chạy một phần validation/save/error và giữ file khi avatar save lỗi; chưa đầy đủ các nhánh response normalize, từng biên hoặc upload-success/PUT-fail.</x:v>
      </x:c>
      <x:c r="P9" s="10" t="str">
        <x:v>execution/results.json → PRO-005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PRO-006</x:v>
      </x:c>
      <x:c r="B10" s="3" t="str">
        <x:v>fullName: 1 ký tự</x:v>
      </x:c>
      <x:c r="C10" s="3" t="str">
        <x:v>P1</x:v>
      </x:c>
      <x:c r="D10" s="3" t="str">
        <x:v>PRO.VALIDATE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User A với DS-PROFILE đầy đủ hoặc incomplete; QueryClient mới; file avatar tổng hợp an toàn DS-FILES. API media/profile hỗ trợ mock response độc lập.</x:v>
      </x:c>
      <x:c r="I10" s="3" t="str">
        <x:v>DS-PROFILE form; fullName="A"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Báo lỗi tại fullName; không gửi mutation khi giá trị chưa hợp lệ.</x:v>
      </x:c>
      <x:c r="L10" s="3" t="str">
        <x:v>src/features/profile/schemas/profile-form.schema.ts:15</x:v>
      </x:c>
      <x:c r="M10" s="3" t="str">
        <x:v>Đề xuất Unit + Integration | Test liên quan, chưa xác nhận phủ ca: src/features/profile/schemas/profile-form.schema.test.ts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PRO-006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PRO-007</x:v>
      </x:c>
      <x:c r="B11" s="3" t="str">
        <x:v>fullName: 2 ký tự</x:v>
      </x:c>
      <x:c r="C11" s="3" t="str">
        <x:v>P1</x:v>
      </x:c>
      <x:c r="D11" s="3" t="str">
        <x:v>PRO.VALIDATE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User A với DS-PROFILE đầy đủ hoặc incomplete; QueryClient mới; file avatar tổng hợp an toàn DS-FILES. API media/profile hỗ trợ mock response độc lập.</x:v>
      </x:c>
      <x:c r="I11" s="3" t="str">
        <x:v>DS-PROFILE form; fullName="AA"</x:v>
      </x:c>
      <x:c r="J11" s="3" t="str">
        <x:v>1. Khôi phục bộ dữ liệu hợp lệ.
2. Chỉ thay fullName bằng giá trị nêu trong dữ liệu.
3. Submit và quan sát lỗi cùng lời gọi service.</x:v>
      </x:c>
      <x:c r="K11" s="3" t="str">
        <x:v>Form chấp nhận ngưỡng hợp lệ; giá trị string được trim; không tự áp rule khác chưa được PO thống nhất.</x:v>
      </x:c>
      <x:c r="L11" s="3" t="str">
        <x:v>src/features/profile/schemas/profile-form.schema.ts:15</x:v>
      </x:c>
      <x:c r="M11" s="3" t="str">
        <x:v>Đề xuất Unit + Integration | Test liên quan, chưa xác nhận phủ ca: src/features/profile/schemas/profile-form.schema.test.ts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PRO-007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PRO-008</x:v>
      </x:c>
      <x:c r="B12" s="3" t="str">
        <x:v>fullName: 80 ký tự</x:v>
      </x:c>
      <x:c r="C12" s="3" t="str">
        <x:v>P1</x:v>
      </x:c>
      <x:c r="D12" s="3" t="str">
        <x:v>PRO.VALIDATE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User A với DS-PROFILE đầy đủ hoặc incomplete; QueryClient mới; file avatar tổng hợp an toàn DS-FILES. API media/profile hỗ trợ mock response độc lập.</x:v>
      </x:c>
      <x:c r="I12" s="3" t="str">
        <x:v>DS-PROFILE form; fullName="AAAAAAAAAAAAAAAAAAAAAAAAAAAAAAAAAAAAAAAAAAAAAAAAAAAAAAAAAAAAAAAAAAAAAAAAAAAAAAAA"</x:v>
      </x:c>
      <x:c r="J12" s="3" t="str">
        <x:v>1. Khôi phục bộ dữ liệu hợp lệ.
2. Chỉ thay fullName bằng giá trị nêu trong dữ liệu.
3. Submit và quan sát lỗi cùng lời gọi service.</x:v>
      </x:c>
      <x:c r="K12" s="3" t="str">
        <x:v>Form chấp nhận ngưỡng hợp lệ; giá trị string được trim; không tự áp rule khác chưa được PO thống nhất.</x:v>
      </x:c>
      <x:c r="L12" s="3" t="str">
        <x:v>src/features/profile/schemas/profile-form.schema.ts:15</x:v>
      </x:c>
      <x:c r="M12" s="3" t="str">
        <x:v>Đề xuất Unit + Integration | Test liên quan, chưa xác nhận phủ ca: src/features/profile/schemas/profile-form.schema.test.ts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PRO-008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PRO-009</x:v>
      </x:c>
      <x:c r="B13" s="3" t="str">
        <x:v>fullName: 81 ký tự</x:v>
      </x:c>
      <x:c r="C13" s="3" t="str">
        <x:v>P1</x:v>
      </x:c>
      <x:c r="D13" s="3" t="str">
        <x:v>PRO.VALIDATE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User A với DS-PROFILE đầy đủ hoặc incomplete; QueryClient mới; file avatar tổng hợp an toàn DS-FILES. API media/profile hỗ trợ mock response độc lập.</x:v>
      </x:c>
      <x:c r="I13" s="3" t="str">
        <x:v>DS-PROFILE form; fullName="AAAAAAAAAAAAAAAAAAAAAAAAAAAAAAAAAAAAAAAAAAAAAAAAAAAAAAAAAAAAAAAAAAAAAAAAAAAAAAAAA"</x:v>
      </x:c>
      <x:c r="J13" s="3" t="str">
        <x:v>1. Khôi phục bộ dữ liệu hợp lệ.
2. Chỉ thay fullName bằng giá trị nêu trong dữ liệu.
3. Submit và quan sát lỗi cùng lời gọi service.</x:v>
      </x:c>
      <x:c r="K13" s="3" t="str">
        <x:v>Báo lỗi tại fullName; không gửi mutation khi giá trị chưa hợp lệ.</x:v>
      </x:c>
      <x:c r="L13" s="3" t="str">
        <x:v>src/features/profile/schemas/profile-form.schema.ts:15</x:v>
      </x:c>
      <x:c r="M13" s="3" t="str">
        <x:v>Đề xuất Unit + Integration | Test liên quan, chưa xác nhận phủ ca: src/features/profile/schemas/profile-form.schema.test.ts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PRO-009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PRO-010</x:v>
      </x:c>
      <x:c r="B14" s="3" t="str">
        <x:v>phone: 7 ký tự</x:v>
      </x:c>
      <x:c r="C14" s="3" t="str">
        <x:v>P1</x:v>
      </x:c>
      <x:c r="D14" s="3" t="str">
        <x:v>PRO.VALIDATE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User A với DS-PROFILE đầy đủ hoặc incomplete; QueryClient mới; file avatar tổng hợp an toàn DS-FILES. API media/profile hỗ trợ mock response độc lập.</x:v>
      </x:c>
      <x:c r="I14" s="3" t="str">
        <x:v>DS-PROFILE form; phone="0111111"</x:v>
      </x:c>
      <x:c r="J14" s="3" t="str">
        <x:v>1. Khôi phục bộ dữ liệu hợp lệ.
2. Chỉ thay phone bằng giá trị nêu trong dữ liệu.
3. Submit và quan sát lỗi cùng lời gọi service.</x:v>
      </x:c>
      <x:c r="K14" s="3" t="str">
        <x:v>Báo lỗi tại phone; không gửi mutation khi giá trị chưa hợp lệ.</x:v>
      </x:c>
      <x:c r="L14" s="3" t="str">
        <x:v>src/features/profile/schemas/profile-form.schema.ts:15</x:v>
      </x:c>
      <x:c r="M14" s="3" t="str">
        <x:v>Đề xuất Unit + Integration | Test liên quan, chưa xác nhận phủ ca: src/features/profile/schemas/profile-form.schema.test.ts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PRO-010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PRO-011</x:v>
      </x:c>
      <x:c r="B15" s="3" t="str">
        <x:v>phone: 8 ký tự</x:v>
      </x:c>
      <x:c r="C15" s="3" t="str">
        <x:v>P1</x:v>
      </x:c>
      <x:c r="D15" s="3" t="str">
        <x:v>PRO.VALIDATE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User A với DS-PROFILE đầy đủ hoặc incomplete; QueryClient mới; file avatar tổng hợp an toàn DS-FILES. API media/profile hỗ trợ mock response độc lập.</x:v>
      </x:c>
      <x:c r="I15" s="3" t="str">
        <x:v>DS-PROFILE form; phone="01111111"</x:v>
      </x:c>
      <x:c r="J15" s="3" t="str">
        <x:v>1. Khôi phục bộ dữ liệu hợp lệ.
2. Chỉ thay phone bằng giá trị nêu trong dữ liệu.
3. Submit và quan sát lỗi cùng lời gọi service.</x:v>
      </x:c>
      <x:c r="K15" s="3" t="str">
        <x:v>Form chấp nhận ngưỡng hợp lệ; giá trị string được trim; không tự áp rule khác chưa được PO thống nhất.</x:v>
      </x:c>
      <x:c r="L15" s="3" t="str">
        <x:v>src/features/profile/schemas/profile-form.schema.ts:15</x:v>
      </x:c>
      <x:c r="M15" s="3" t="str">
        <x:v>Đề xuất Unit + Integration | Test liên quan, chưa xác nhận phủ ca: src/features/profile/schemas/profile-form.schema.test.ts</x:v>
      </x:c>
      <x:c r="N15" s="10" t="str">
        <x:v>Pass</x:v>
      </x:c>
      <x:c r="O15" s="10" t="str">
        <x:v>Assertion gắn ID đã pass qua UI/service boundary hoặc rule tương ứng; xem tên assertion trong assertions.json.</x:v>
      </x:c>
      <x:c r="P15" s="10" t="str">
        <x:v>execution/results.json → PRO-011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PRO-012</x:v>
      </x:c>
      <x:c r="B16" s="3" t="str">
        <x:v>phone: 20 ký tự</x:v>
      </x:c>
      <x:c r="C16" s="3" t="str">
        <x:v>P1</x:v>
      </x:c>
      <x:c r="D16" s="3" t="str">
        <x:v>PRO.VALIDATE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User A với DS-PROFILE đầy đủ hoặc incomplete; QueryClient mới; file avatar tổng hợp an toàn DS-FILES. API media/profile hỗ trợ mock response độc lập.</x:v>
      </x:c>
      <x:c r="I16" s="3" t="str">
        <x:v>DS-PROFILE form; phone="01111111111111111111"</x:v>
      </x:c>
      <x:c r="J16" s="3" t="str">
        <x:v>1. Khôi phục bộ dữ liệu hợp lệ.
2. Chỉ thay phone bằng giá trị nêu trong dữ liệu.
3. Submit và quan sát lỗi cùng lời gọi service.</x:v>
      </x:c>
      <x:c r="K16" s="3" t="str">
        <x:v>Form chấp nhận ngưỡng hợp lệ; giá trị string được trim; không tự áp rule khác chưa được PO thống nhất.</x:v>
      </x:c>
      <x:c r="L16" s="3" t="str">
        <x:v>src/features/profile/schemas/profile-form.schema.ts:15</x:v>
      </x:c>
      <x:c r="M16" s="3" t="str">
        <x:v>Đề xuất Unit + Integration | Test liên quan, chưa xác nhận phủ ca: src/features/profile/schemas/profile-form.schema.test.ts</x:v>
      </x:c>
      <x:c r="N16" s="10" t="str">
        <x:v>Pass</x:v>
      </x:c>
      <x:c r="O16" s="10" t="str">
        <x:v>Assertion gắn ID đã pass qua UI/service boundary hoặc rule tương ứng; xem tên assertion trong assertions.json.</x:v>
      </x:c>
      <x:c r="P16" s="10" t="str">
        <x:v>execution/results.json → PRO-012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PRO-013</x:v>
      </x:c>
      <x:c r="B17" s="3" t="str">
        <x:v>phone: 21 ký tự</x:v>
      </x:c>
      <x:c r="C17" s="3" t="str">
        <x:v>P1</x:v>
      </x:c>
      <x:c r="D17" s="3" t="str">
        <x:v>PRO.VALIDATE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User A với DS-PROFILE đầy đủ hoặc incomplete; QueryClient mới; file avatar tổng hợp an toàn DS-FILES. API media/profile hỗ trợ mock response độc lập.</x:v>
      </x:c>
      <x:c r="I17" s="3" t="str">
        <x:v>DS-PROFILE form; phone="011111111111111111111"</x:v>
      </x:c>
      <x:c r="J17" s="3" t="str">
        <x:v>1. Khôi phục bộ dữ liệu hợp lệ.
2. Chỉ thay phone bằng giá trị nêu trong dữ liệu.
3. Submit và quan sát lỗi cùng lời gọi service.</x:v>
      </x:c>
      <x:c r="K17" s="3" t="str">
        <x:v>Báo lỗi tại phone; không gửi mutation khi giá trị chưa hợp lệ.</x:v>
      </x:c>
      <x:c r="L17" s="3" t="str">
        <x:v>src/features/profile/schemas/profile-form.schema.ts:15</x:v>
      </x:c>
      <x:c r="M17" s="3" t="str">
        <x:v>Đề xuất Unit + Integration | Test liên quan, chưa xác nhận phủ ca: src/features/profile/schemas/profile-form.schema.test.ts</x:v>
      </x:c>
      <x:c r="N17" s="10" t="str">
        <x:v>Pass</x:v>
      </x:c>
      <x:c r="O17" s="10" t="str">
        <x:v>Assertion gắn ID đã pass qua UI/service boundary hoặc rule tương ứng; xem tên assertion trong assertions.json.</x:v>
      </x:c>
      <x:c r="P17" s="10" t="str">
        <x:v>execution/results.json → PRO-013
execution/assertions.json</x:v>
      </x:c>
      <x:c r="Q17" s="10" t="str">
        <x:v>Codex — local automated QA</x:v>
      </x:c>
      <x:c r="R17" s="11" t="d">
        <x:v>2026-10-18T05:30:31.999Z</x:v>
      </x:c>
    </x:row>
    <x:row r="18" ht="94" customHeight="1">
      <x:c r="A18" s="3" t="str">
        <x:v>PRO-014</x:v>
      </x:c>
      <x:c r="B18" s="3" t="str">
        <x:v>companyName: 1 ký tự</x:v>
      </x:c>
      <x:c r="C18" s="3" t="str">
        <x:v>P1</x:v>
      </x:c>
      <x:c r="D18" s="3" t="str">
        <x:v>PRO.VALIDATE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User A với DS-PROFILE đầy đủ hoặc incomplete; QueryClient mới; file avatar tổng hợp an toàn DS-FILES. API media/profile hỗ trợ mock response độc lập.</x:v>
      </x:c>
      <x:c r="I18" s="3" t="str">
        <x:v>DS-PROFILE form; companyName="A"</x:v>
      </x:c>
      <x:c r="J18" s="3" t="str">
        <x:v>1. Khôi phục bộ dữ liệu hợp lệ.
2. Chỉ thay companyName bằng giá trị nêu trong dữ liệu.
3. Submit và quan sát lỗi cùng lời gọi service.</x:v>
      </x:c>
      <x:c r="K18" s="3" t="str">
        <x:v>Báo lỗi tại companyName; không gửi mutation khi giá trị chưa hợp lệ.</x:v>
      </x:c>
      <x:c r="L18" s="3" t="str">
        <x:v>src/features/profile/schemas/profile-form.schema.ts:15</x:v>
      </x:c>
      <x:c r="M18" s="3" t="str">
        <x:v>Đề xuất Unit + Integration | Test liên quan, chưa xác nhận phủ ca: src/features/profile/schemas/profile-form.schema.test.ts</x:v>
      </x:c>
      <x:c r="N18" s="10" t="str">
        <x:v>Pass</x:v>
      </x:c>
      <x:c r="O18" s="10" t="str">
        <x:v>Assertion gắn ID đã pass qua UI/service boundary hoặc rule tương ứng; xem tên assertion trong assertions.json.</x:v>
      </x:c>
      <x:c r="P18" s="10" t="str">
        <x:v>execution/results.json → PRO-014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PRO-015</x:v>
      </x:c>
      <x:c r="B19" s="3" t="str">
        <x:v>companyName: 2 ký tự</x:v>
      </x:c>
      <x:c r="C19" s="3" t="str">
        <x:v>P1</x:v>
      </x:c>
      <x:c r="D19" s="3" t="str">
        <x:v>PRO.VALIDATE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User A với DS-PROFILE đầy đủ hoặc incomplete; QueryClient mới; file avatar tổng hợp an toàn DS-FILES. API media/profile hỗ trợ mock response độc lập.</x:v>
      </x:c>
      <x:c r="I19" s="3" t="str">
        <x:v>DS-PROFILE form; companyName="AA"</x:v>
      </x:c>
      <x:c r="J19" s="3" t="str">
        <x:v>1. Khôi phục bộ dữ liệu hợp lệ.
2. Chỉ thay companyName bằng giá trị nêu trong dữ liệu.
3. Submit và quan sát lỗi cùng lời gọi service.</x:v>
      </x:c>
      <x:c r="K19" s="3" t="str">
        <x:v>Form chấp nhận ngưỡng hợp lệ; giá trị string được trim; không tự áp rule khác chưa được PO thống nhất.</x:v>
      </x:c>
      <x:c r="L19" s="3" t="str">
        <x:v>src/features/profile/schemas/profile-form.schema.ts:15</x:v>
      </x:c>
      <x:c r="M19" s="3" t="str">
        <x:v>Đề xuất Unit + Integration | Test liên quan, chưa xác nhận phủ ca: src/features/profile/schemas/profile-form.schema.test.ts</x:v>
      </x:c>
      <x:c r="N19" s="10" t="str">
        <x:v>Pass</x:v>
      </x:c>
      <x:c r="O19" s="10" t="str">
        <x:v>Assertion gắn ID đã pass qua UI/service boundary hoặc rule tương ứng; xem tên assertion trong assertions.json.</x:v>
      </x:c>
      <x:c r="P19" s="10" t="str">
        <x:v>execution/results.json → PRO-015
execution/assertions.json</x:v>
      </x:c>
      <x:c r="Q19" s="10" t="str">
        <x:v>Codex — local automated QA</x:v>
      </x:c>
      <x:c r="R19" s="11" t="d">
        <x:v>2026-10-18T05:30:31.999Z</x:v>
      </x:c>
    </x:row>
    <x:row r="20" ht="94" customHeight="1">
      <x:c r="A20" s="3" t="str">
        <x:v>PRO-016</x:v>
      </x:c>
      <x:c r="B20" s="3" t="str">
        <x:v>companyName: 120 ký tự</x:v>
      </x:c>
      <x:c r="C20" s="3" t="str">
        <x:v>P1</x:v>
      </x:c>
      <x:c r="D20" s="3" t="str">
        <x:v>PRO.VALIDATE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User A với DS-PROFILE đầy đủ hoặc incomplete; QueryClient mới; file avatar tổng hợp an toàn DS-FILES. API media/profile hỗ trợ mock response độc lập.</x:v>
      </x:c>
      <x:c r="I20" s="3" t="str">
        <x:v>DS-PROFILE form; companyName="AAAAAAAAAAAAAAAAAAAAAAAAAAAAAAAAAAAAAAAAAAAAAAAAAAAAAAAAAAAAAAAAAAAAAAAAAAAAAAAAAAAAAAAAAAAAAAAAAAAAAAAAAAAAAAAAAAAAAAAA"</x:v>
      </x:c>
      <x:c r="J20" s="3" t="str">
        <x:v>1. Khôi phục bộ dữ liệu hợp lệ.
2. Chỉ thay companyName bằng giá trị nêu trong dữ liệu.
3. Submit và quan sát lỗi cùng lời gọi service.</x:v>
      </x:c>
      <x:c r="K20" s="3" t="str">
        <x:v>Form chấp nhận ngưỡng hợp lệ; giá trị string được trim; không tự áp rule khác chưa được PO thống nhất.</x:v>
      </x:c>
      <x:c r="L20" s="3" t="str">
        <x:v>src/features/profile/schemas/profile-form.schema.ts:15</x:v>
      </x:c>
      <x:c r="M20" s="3" t="str">
        <x:v>Đề xuất Unit + Integration | Test liên quan, chưa xác nhận phủ ca: src/features/profile/schemas/profile-form.schema.test.ts</x:v>
      </x:c>
      <x:c r="N20" s="10" t="str">
        <x:v>Pass</x:v>
      </x:c>
      <x:c r="O20" s="10" t="str">
        <x:v>Assertion gắn ID đã pass qua UI/service boundary hoặc rule tương ứng; xem tên assertion trong assertions.json.</x:v>
      </x:c>
      <x:c r="P20" s="10" t="str">
        <x:v>execution/results.json → PRO-016
execution/assertions.json</x:v>
      </x:c>
      <x:c r="Q20" s="10" t="str">
        <x:v>Codex — local automated QA</x:v>
      </x:c>
      <x:c r="R20" s="11" t="d">
        <x:v>2026-10-18T05:30:31.999Z</x:v>
      </x:c>
    </x:row>
    <x:row r="21" ht="94" customHeight="1">
      <x:c r="A21" s="3" t="str">
        <x:v>PRO-017</x:v>
      </x:c>
      <x:c r="B21" s="3" t="str">
        <x:v>companyName: 121 ký tự</x:v>
      </x:c>
      <x:c r="C21" s="3" t="str">
        <x:v>P1</x:v>
      </x:c>
      <x:c r="D21" s="3" t="str">
        <x:v>PRO.VALIDATE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User A với DS-PROFILE đầy đủ hoặc incomplete; QueryClient mới; file avatar tổng hợp an toàn DS-FILES. API media/profile hỗ trợ mock response độc lập.</x:v>
      </x:c>
      <x:c r="I21" s="3" t="str">
        <x:v>DS-PROFILE form; companyName="AAAAAAAAAAAAAAAAAAAAAAAAAAAAAAAAAAAAAAAAAAAAAAAAAAAAAAAAAAAAAAAAAAAAAAAAAAAAAAAAAAAAAAAAAAAAAAAAAAAAAAAAAAAAAAAAAAAAAAAAA"</x:v>
      </x:c>
      <x:c r="J21" s="3" t="str">
        <x:v>1. Khôi phục bộ dữ liệu hợp lệ.
2. Chỉ thay companyName bằng giá trị nêu trong dữ liệu.
3. Submit và quan sát lỗi cùng lời gọi service.</x:v>
      </x:c>
      <x:c r="K21" s="3" t="str">
        <x:v>Báo lỗi tại companyName; không gửi mutation khi giá trị chưa hợp lệ.</x:v>
      </x:c>
      <x:c r="L21" s="3" t="str">
        <x:v>src/features/profile/schemas/profile-form.schema.ts:15</x:v>
      </x:c>
      <x:c r="M21" s="3" t="str">
        <x:v>Đề xuất Unit + Integration | Test liên quan, chưa xác nhận phủ ca: src/features/profile/schemas/profile-form.schema.test.ts</x:v>
      </x:c>
      <x:c r="N21" s="10" t="str">
        <x:v>Pass</x:v>
      </x:c>
      <x:c r="O21" s="10" t="str">
        <x:v>Assertion gắn ID đã pass qua UI/service boundary hoặc rule tương ứng; xem tên assertion trong assertions.json.</x:v>
      </x:c>
      <x:c r="P21" s="10" t="str">
        <x:v>execution/results.json → PRO-017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PRO-018</x:v>
      </x:c>
      <x:c r="B22" s="3" t="str">
        <x:v>deliveryAddress: 4 ký tự</x:v>
      </x:c>
      <x:c r="C22" s="3" t="str">
        <x:v>P1</x:v>
      </x:c>
      <x:c r="D22" s="3" t="str">
        <x:v>PRO.VALIDATE</x:v>
      </x:c>
      <x:c r="E22" s="3" t="str">
        <x:v>Boundary</x:v>
      </x:c>
      <x:c r="F22" s="3" t="str">
        <x:v>Unit + Integration</x:v>
      </x:c>
      <x:c r="G22" s="3" t="str">
        <x:v>Source</x:v>
      </x:c>
      <x:c r="H22" s="3" t="str">
        <x:v>User A với DS-PROFILE đầy đủ hoặc incomplete; QueryClient mới; file avatar tổng hợp an toàn DS-FILES. API media/profile hỗ trợ mock response độc lập.</x:v>
      </x:c>
      <x:c r="I22" s="3" t="str">
        <x:v>DS-PROFILE form; deliveryAddress="AAAA"</x:v>
      </x:c>
      <x:c r="J22" s="3" t="str">
        <x:v>1. Khôi phục bộ dữ liệu hợp lệ.
2. Chỉ thay deliveryAddress bằng giá trị nêu trong dữ liệu.
3. Submit và quan sát lỗi cùng lời gọi service.</x:v>
      </x:c>
      <x:c r="K22" s="3" t="str">
        <x:v>Báo lỗi tại deliveryAddress; không gửi mutation khi giá trị chưa hợp lệ.</x:v>
      </x:c>
      <x:c r="L22" s="3" t="str">
        <x:v>src/features/profile/schemas/profile-form.schema.ts:15</x:v>
      </x:c>
      <x:c r="M22" s="3" t="str">
        <x:v>Đề xuất Unit + Integration | Test liên quan, chưa xác nhận phủ ca: src/features/profile/schemas/profile-form.schema.test.ts</x:v>
      </x:c>
      <x:c r="N22" s="10" t="str">
        <x:v>Pass</x:v>
      </x:c>
      <x:c r="O22" s="10" t="str">
        <x:v>Assertion gắn ID đã pass qua UI/service boundary hoặc rule tương ứng; xem tên assertion trong assertions.json.</x:v>
      </x:c>
      <x:c r="P22" s="10" t="str">
        <x:v>execution/results.json → PRO-018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PRO-019</x:v>
      </x:c>
      <x:c r="B23" s="3" t="str">
        <x:v>deliveryAddress: 5 ký tự</x:v>
      </x:c>
      <x:c r="C23" s="3" t="str">
        <x:v>P1</x:v>
      </x:c>
      <x:c r="D23" s="3" t="str">
        <x:v>PRO.VALIDATE</x:v>
      </x:c>
      <x:c r="E23" s="3" t="str">
        <x:v>Boundary</x:v>
      </x:c>
      <x:c r="F23" s="3" t="str">
        <x:v>Unit + Integration</x:v>
      </x:c>
      <x:c r="G23" s="3" t="str">
        <x:v>Source</x:v>
      </x:c>
      <x:c r="H23" s="3" t="str">
        <x:v>User A với DS-PROFILE đầy đủ hoặc incomplete; QueryClient mới; file avatar tổng hợp an toàn DS-FILES. API media/profile hỗ trợ mock response độc lập.</x:v>
      </x:c>
      <x:c r="I23" s="3" t="str">
        <x:v>DS-PROFILE form; deliveryAddress="AAAAA"</x:v>
      </x:c>
      <x:c r="J23" s="3" t="str">
        <x:v>1. Khôi phục bộ dữ liệu hợp lệ.
2. Chỉ thay deliveryAddress bằng giá trị nêu trong dữ liệu.
3. Submit và quan sát lỗi cùng lời gọi service.</x:v>
      </x:c>
      <x:c r="K23" s="3" t="str">
        <x:v>Form chấp nhận ngưỡng hợp lệ; giá trị string được trim; không tự áp rule khác chưa được PO thống nhất.</x:v>
      </x:c>
      <x:c r="L23" s="3" t="str">
        <x:v>src/features/profile/schemas/profile-form.schema.ts:15</x:v>
      </x:c>
      <x:c r="M23" s="3" t="str">
        <x:v>Đề xuất Unit + Integration | Test liên quan, chưa xác nhận phủ ca: src/features/profile/schemas/profile-form.schema.test.ts</x:v>
      </x:c>
      <x:c r="N23" s="10" t="str">
        <x:v>Pass</x:v>
      </x:c>
      <x:c r="O23" s="10" t="str">
        <x:v>Assertion gắn ID đã pass qua UI/service boundary hoặc rule tương ứng; xem tên assertion trong assertions.json.</x:v>
      </x:c>
      <x:c r="P23" s="10" t="str">
        <x:v>execution/results.json → PRO-019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PRO-020</x:v>
      </x:c>
      <x:c r="B24" s="3" t="str">
        <x:v>deliveryAddress: 200 ký tự</x:v>
      </x:c>
      <x:c r="C24" s="3" t="str">
        <x:v>P1</x:v>
      </x:c>
      <x:c r="D24" s="3" t="str">
        <x:v>PRO.VALIDATE</x:v>
      </x:c>
      <x:c r="E24" s="3" t="str">
        <x:v>Boundary</x:v>
      </x:c>
      <x:c r="F24" s="3" t="str">
        <x:v>Unit + Integration</x:v>
      </x:c>
      <x:c r="G24" s="3" t="str">
        <x:v>Source</x:v>
      </x:c>
      <x:c r="H24" s="3" t="str">
        <x:v>User A với DS-PROFILE đầy đủ hoặc incomplete; QueryClient mới; file avatar tổng hợp an toàn DS-FILES. API media/profile hỗ trợ mock response độc lập.</x:v>
      </x:c>
      <x:c r="I24" s="3" t="str">
        <x:v>DS-PROFILE form; deliveryAddress=repeat("A", 200) — đúng 200 ký tự</x:v>
      </x:c>
      <x:c r="J24" s="3" t="str">
        <x:v>1. Khôi phục bộ dữ liệu hợp lệ.
2. Chỉ thay deliveryAddress bằng giá trị nêu trong dữ liệu.
3. Submit và quan sát lỗi cùng lời gọi service.</x:v>
      </x:c>
      <x:c r="K24" s="3" t="str">
        <x:v>Form chấp nhận ngưỡng hợp lệ; giá trị string được trim; không tự áp rule khác chưa được PO thống nhất.</x:v>
      </x:c>
      <x:c r="L24" s="3" t="str">
        <x:v>src/features/profile/schemas/profile-form.schema.ts:15</x:v>
      </x:c>
      <x:c r="M24" s="3" t="str">
        <x:v>Đề xuất Unit + Integration | Test liên quan, chưa xác nhận phủ ca: src/features/profile/schemas/profile-form.schema.test.ts</x:v>
      </x:c>
      <x:c r="N24" s="10" t="str">
        <x:v>Pass</x:v>
      </x:c>
      <x:c r="O24" s="10" t="str">
        <x:v>Assertion gắn ID đã pass qua UI/service boundary hoặc rule tương ứng; xem tên assertion trong assertions.json.</x:v>
      </x:c>
      <x:c r="P24" s="10" t="str">
        <x:v>execution/results.json → PRO-020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PRO-021</x:v>
      </x:c>
      <x:c r="B25" s="3" t="str">
        <x:v>deliveryAddress: 201 ký tự</x:v>
      </x:c>
      <x:c r="C25" s="3" t="str">
        <x:v>P1</x:v>
      </x:c>
      <x:c r="D25" s="3" t="str">
        <x:v>PRO.VALIDATE</x:v>
      </x:c>
      <x:c r="E25" s="3" t="str">
        <x:v>Boundary</x:v>
      </x:c>
      <x:c r="F25" s="3" t="str">
        <x:v>Unit + Integration</x:v>
      </x:c>
      <x:c r="G25" s="3" t="str">
        <x:v>Source</x:v>
      </x:c>
      <x:c r="H25" s="3" t="str">
        <x:v>User A với DS-PROFILE đầy đủ hoặc incomplete; QueryClient mới; file avatar tổng hợp an toàn DS-FILES. API media/profile hỗ trợ mock response độc lập.</x:v>
      </x:c>
      <x:c r="I25" s="3" t="str">
        <x:v>DS-PROFILE form; deliveryAddress=repeat("A", 201) — đúng 201 ký tự</x:v>
      </x:c>
      <x:c r="J25" s="3" t="str">
        <x:v>1. Khôi phục bộ dữ liệu hợp lệ.
2. Chỉ thay deliveryAddress bằng giá trị nêu trong dữ liệu.
3. Submit và quan sát lỗi cùng lời gọi service.</x:v>
      </x:c>
      <x:c r="K25" s="3" t="str">
        <x:v>Báo lỗi tại deliveryAddress; không gửi mutation khi giá trị chưa hợp lệ.</x:v>
      </x:c>
      <x:c r="L25" s="3" t="str">
        <x:v>src/features/profile/schemas/profile-form.schema.ts:15</x:v>
      </x:c>
      <x:c r="M25" s="3" t="str">
        <x:v>Đề xuất Unit + Integration | Test liên quan, chưa xác nhận phủ ca: src/features/profile/schemas/profile-form.schema.test.ts</x:v>
      </x:c>
      <x:c r="N25" s="10" t="str">
        <x:v>Pass</x:v>
      </x:c>
      <x:c r="O25" s="10" t="str">
        <x:v>Assertion gắn ID đã pass qua UI/service boundary hoặc rule tương ứng; xem tên assertion trong assertions.json.</x:v>
      </x:c>
      <x:c r="P25" s="10" t="str">
        <x:v>execution/results.json → PRO-021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PRO-022</x:v>
      </x:c>
      <x:c r="B26" s="3" t="str">
        <x:v>postalCode: 3 ký tự</x:v>
      </x:c>
      <x:c r="C26" s="3" t="str">
        <x:v>P1</x:v>
      </x:c>
      <x:c r="D26" s="3" t="str">
        <x:v>PRO.VALIDATE</x:v>
      </x:c>
      <x:c r="E26" s="3" t="str">
        <x:v>Boundary</x:v>
      </x:c>
      <x:c r="F26" s="3" t="str">
        <x:v>Unit + Integration</x:v>
      </x:c>
      <x:c r="G26" s="3" t="str">
        <x:v>Source</x:v>
      </x:c>
      <x:c r="H26" s="3" t="str">
        <x:v>User A với DS-PROFILE đầy đủ hoặc incomplete; QueryClient mới; file avatar tổng hợp an toàn DS-FILES. API media/profile hỗ trợ mock response độc lập.</x:v>
      </x:c>
      <x:c r="I26" s="3" t="str">
        <x:v>DS-PROFILE form; postalCode="011"</x:v>
      </x:c>
      <x:c r="J26" s="3" t="str">
        <x:v>1. Khôi phục bộ dữ liệu hợp lệ.
2. Chỉ thay postalCode bằng giá trị nêu trong dữ liệu.
3. Submit và quan sát lỗi cùng lời gọi service.</x:v>
      </x:c>
      <x:c r="K26" s="3" t="str">
        <x:v>Báo lỗi tại postalCode; không gửi mutation khi giá trị chưa hợp lệ.</x:v>
      </x:c>
      <x:c r="L26" s="3" t="str">
        <x:v>src/features/profile/schemas/profile-form.schema.ts:15</x:v>
      </x:c>
      <x:c r="M26" s="3" t="str">
        <x:v>Đề xuất Unit + Integration | Test liên quan, chưa xác nhận phủ ca: src/features/profile/schemas/profile-form.schema.test.ts</x:v>
      </x:c>
      <x:c r="N26" s="10" t="str">
        <x:v>Pass</x:v>
      </x:c>
      <x:c r="O26" s="10" t="str">
        <x:v>Assertion gắn ID đã pass qua UI/service boundary hoặc rule tương ứng; xem tên assertion trong assertions.json.</x:v>
      </x:c>
      <x:c r="P26" s="10" t="str">
        <x:v>execution/results.json → PRO-022
execution/assertions.json</x:v>
      </x:c>
      <x:c r="Q26" s="10" t="str">
        <x:v>Codex — local automated QA</x:v>
      </x:c>
      <x:c r="R26" s="11" t="d">
        <x:v>2026-10-18T05:30:31.999Z</x:v>
      </x:c>
    </x:row>
    <x:row r="27" ht="94" customHeight="1">
      <x:c r="A27" s="3" t="str">
        <x:v>PRO-023</x:v>
      </x:c>
      <x:c r="B27" s="3" t="str">
        <x:v>postalCode: 4 ký tự</x:v>
      </x:c>
      <x:c r="C27" s="3" t="str">
        <x:v>P1</x:v>
      </x:c>
      <x:c r="D27" s="3" t="str">
        <x:v>PRO.VALIDATE</x:v>
      </x:c>
      <x:c r="E27" s="3" t="str">
        <x:v>Boundary</x:v>
      </x:c>
      <x:c r="F27" s="3" t="str">
        <x:v>Unit + Integration</x:v>
      </x:c>
      <x:c r="G27" s="3" t="str">
        <x:v>Source</x:v>
      </x:c>
      <x:c r="H27" s="3" t="str">
        <x:v>User A với DS-PROFILE đầy đủ hoặc incomplete; QueryClient mới; file avatar tổng hợp an toàn DS-FILES. API media/profile hỗ trợ mock response độc lập.</x:v>
      </x:c>
      <x:c r="I27" s="3" t="str">
        <x:v>DS-PROFILE form; postalCode="0111"</x:v>
      </x:c>
      <x:c r="J27" s="3" t="str">
        <x:v>1. Khôi phục bộ dữ liệu hợp lệ.
2. Chỉ thay postalCode bằng giá trị nêu trong dữ liệu.
3. Submit và quan sát lỗi cùng lời gọi service.</x:v>
      </x:c>
      <x:c r="K27" s="3" t="str">
        <x:v>Form chấp nhận ngưỡng hợp lệ; giá trị string được trim; không tự áp rule khác chưa được PO thống nhất.</x:v>
      </x:c>
      <x:c r="L27" s="3" t="str">
        <x:v>src/features/profile/schemas/profile-form.schema.ts:15</x:v>
      </x:c>
      <x:c r="M27" s="3" t="str">
        <x:v>Đề xuất Unit + Integration | Test liên quan, chưa xác nhận phủ ca: src/features/profile/schemas/profile-form.schema.test.ts</x:v>
      </x:c>
      <x:c r="N27" s="10" t="str">
        <x:v>Pass</x:v>
      </x:c>
      <x:c r="O27" s="10" t="str">
        <x:v>Assertion gắn ID đã pass qua UI/service boundary hoặc rule tương ứng; xem tên assertion trong assertions.json.</x:v>
      </x:c>
      <x:c r="P27" s="10" t="str">
        <x:v>execution/results.json → PRO-023
execution/assertions.json</x:v>
      </x:c>
      <x:c r="Q27" s="10" t="str">
        <x:v>Codex — local automated QA</x:v>
      </x:c>
      <x:c r="R27" s="11" t="d">
        <x:v>2026-10-18T05:30:31.999Z</x:v>
      </x:c>
    </x:row>
    <x:row r="28" ht="94" customHeight="1">
      <x:c r="A28" s="3" t="str">
        <x:v>PRO-024</x:v>
      </x:c>
      <x:c r="B28" s="3" t="str">
        <x:v>postalCode: 12 ký tự</x:v>
      </x:c>
      <x:c r="C28" s="3" t="str">
        <x:v>P1</x:v>
      </x:c>
      <x:c r="D28" s="3" t="str">
        <x:v>PRO.VALIDATE</x:v>
      </x:c>
      <x:c r="E28" s="3" t="str">
        <x:v>Boundary</x:v>
      </x:c>
      <x:c r="F28" s="3" t="str">
        <x:v>Unit + Integration</x:v>
      </x:c>
      <x:c r="G28" s="3" t="str">
        <x:v>Source</x:v>
      </x:c>
      <x:c r="H28" s="3" t="str">
        <x:v>User A với DS-PROFILE đầy đủ hoặc incomplete; QueryClient mới; file avatar tổng hợp an toàn DS-FILES. API media/profile hỗ trợ mock response độc lập.</x:v>
      </x:c>
      <x:c r="I28" s="3" t="str">
        <x:v>DS-PROFILE form; postalCode="011111111111"</x:v>
      </x:c>
      <x:c r="J28" s="3" t="str">
        <x:v>1. Khôi phục bộ dữ liệu hợp lệ.
2. Chỉ thay postalCode bằng giá trị nêu trong dữ liệu.
3. Submit và quan sát lỗi cùng lời gọi service.</x:v>
      </x:c>
      <x:c r="K28" s="3" t="str">
        <x:v>Form chấp nhận ngưỡng hợp lệ; giá trị string được trim; không tự áp rule khác chưa được PO thống nhất.</x:v>
      </x:c>
      <x:c r="L28" s="3" t="str">
        <x:v>src/features/profile/schemas/profile-form.schema.ts:15</x:v>
      </x:c>
      <x:c r="M28" s="3" t="str">
        <x:v>Đề xuất Unit + Integration | Test liên quan, chưa xác nhận phủ ca: src/features/profile/schemas/profile-form.schema.test.ts</x:v>
      </x:c>
      <x:c r="N28" s="10" t="str">
        <x:v>Pass</x:v>
      </x:c>
      <x:c r="O28" s="10" t="str">
        <x:v>Assertion gắn ID đã pass qua UI/service boundary hoặc rule tương ứng; xem tên assertion trong assertions.json.</x:v>
      </x:c>
      <x:c r="P28" s="10" t="str">
        <x:v>execution/results.json → PRO-024
execution/assertions.json</x:v>
      </x:c>
      <x:c r="Q28" s="10" t="str">
        <x:v>Codex — local automated QA</x:v>
      </x:c>
      <x:c r="R28" s="11" t="d">
        <x:v>2026-10-18T05:30:31.999Z</x:v>
      </x:c>
    </x:row>
    <x:row r="29" ht="94" customHeight="1">
      <x:c r="A29" s="3" t="str">
        <x:v>PRO-025</x:v>
      </x:c>
      <x:c r="B29" s="3" t="str">
        <x:v>postalCode: 13 ký tự</x:v>
      </x:c>
      <x:c r="C29" s="3" t="str">
        <x:v>P1</x:v>
      </x:c>
      <x:c r="D29" s="3" t="str">
        <x:v>PRO.VALIDATE</x:v>
      </x:c>
      <x:c r="E29" s="3" t="str">
        <x:v>Boundary</x:v>
      </x:c>
      <x:c r="F29" s="3" t="str">
        <x:v>Unit + Integration</x:v>
      </x:c>
      <x:c r="G29" s="3" t="str">
        <x:v>Source</x:v>
      </x:c>
      <x:c r="H29" s="3" t="str">
        <x:v>User A với DS-PROFILE đầy đủ hoặc incomplete; QueryClient mới; file avatar tổng hợp an toàn DS-FILES. API media/profile hỗ trợ mock response độc lập.</x:v>
      </x:c>
      <x:c r="I29" s="3" t="str">
        <x:v>DS-PROFILE form; postalCode="0111111111111"</x:v>
      </x:c>
      <x:c r="J29" s="3" t="str">
        <x:v>1. Khôi phục bộ dữ liệu hợp lệ.
2. Chỉ thay postalCode bằng giá trị nêu trong dữ liệu.
3. Submit và quan sát lỗi cùng lời gọi service.</x:v>
      </x:c>
      <x:c r="K29" s="3" t="str">
        <x:v>Báo lỗi tại postalCode; không gửi mutation khi giá trị chưa hợp lệ.</x:v>
      </x:c>
      <x:c r="L29" s="3" t="str">
        <x:v>src/features/profile/schemas/profile-form.schema.ts:15</x:v>
      </x:c>
      <x:c r="M29" s="3" t="str">
        <x:v>Đề xuất Unit + Integration | Test liên quan, chưa xác nhận phủ ca: src/features/profile/schemas/profile-form.schema.test.ts</x:v>
      </x:c>
      <x:c r="N29" s="10" t="str">
        <x:v>Pass</x:v>
      </x:c>
      <x:c r="O29" s="10" t="str">
        <x:v>Assertion gắn ID đã pass qua UI/service boundary hoặc rule tương ứng; xem tên assertion trong assertions.json.</x:v>
      </x:c>
      <x:c r="P29" s="10" t="str">
        <x:v>execution/results.json → PRO-025
execution/assertions.json</x:v>
      </x:c>
      <x:c r="Q29" s="10" t="str">
        <x:v>Codex — local automated QA</x:v>
      </x:c>
      <x:c r="R29" s="11" t="d">
        <x:v>2026-10-18T05:30:31.999Z</x:v>
      </x:c>
    </x:row>
    <x:row r="30" ht="94" customHeight="1">
      <x:c r="A30" s="3" t="str">
        <x:v>PRO-026</x:v>
      </x:c>
      <x:c r="B30" s="3" t="str">
        <x:v>companyPhone: rỗng</x:v>
      </x:c>
      <x:c r="C30" s="3" t="str">
        <x:v>P1</x:v>
      </x:c>
      <x:c r="D30" s="3" t="str">
        <x:v>PRO.VALIDATE</x:v>
      </x:c>
      <x:c r="E30" s="3" t="str">
        <x:v>Boundary</x:v>
      </x:c>
      <x:c r="F30" s="3" t="str">
        <x:v>Unit + Integration</x:v>
      </x:c>
      <x:c r="G30" s="3" t="str">
        <x:v>Source</x:v>
      </x:c>
      <x:c r="H30" s="3" t="str">
        <x:v>User A với DS-PROFILE đầy đủ hoặc incomplete; QueryClient mới; file avatar tổng hợp an toàn DS-FILES. API media/profile hỗ trợ mock response độc lập.</x:v>
      </x:c>
      <x:c r="I30" s="3" t="str">
        <x:v>DS-PROFILE form; companyPhone=""</x:v>
      </x:c>
      <x:c r="J30" s="3" t="str">
        <x:v>1. Khôi phục bộ dữ liệu hợp lệ.
2. Chỉ thay companyPhone bằng giá trị nêu trong dữ liệu.
3. Submit và quan sát lỗi cùng lời gọi service.</x:v>
      </x:c>
      <x:c r="K30" s="3" t="str">
        <x:v>Form chấp nhận ngưỡng hợp lệ; giá trị string được trim; không tự áp rule khác chưa được PO thống nhất.</x:v>
      </x:c>
      <x:c r="L30" s="3" t="str">
        <x:v>src/features/profile/schemas/profile-form.schema.ts:15</x:v>
      </x:c>
      <x:c r="M30" s="3" t="str">
        <x:v>Đề xuất Unit + Integration | Test liên quan, chưa xác nhận phủ ca: src/features/profile/schemas/profile-form.schema.test.ts</x:v>
      </x:c>
      <x:c r="N30" s="10" t="str">
        <x:v>Pass</x:v>
      </x:c>
      <x:c r="O30" s="10" t="str">
        <x:v>Assertion gắn ID đã pass qua UI/service boundary hoặc rule tương ứng; xem tên assertion trong assertions.json.</x:v>
      </x:c>
      <x:c r="P30" s="10" t="str">
        <x:v>execution/results.json → PRO-026
execution/assertions.json</x:v>
      </x:c>
      <x:c r="Q30" s="10" t="str">
        <x:v>Codex — local automated QA</x:v>
      </x:c>
      <x:c r="R30" s="11" t="d">
        <x:v>2026-10-18T05:30:31.999Z</x:v>
      </x:c>
    </x:row>
    <x:row r="31" ht="94" customHeight="1">
      <x:c r="A31" s="3" t="str">
        <x:v>PRO-027</x:v>
      </x:c>
      <x:c r="B31" s="3" t="str">
        <x:v>companyPhone: 5 ký tự</x:v>
      </x:c>
      <x:c r="C31" s="3" t="str">
        <x:v>P1</x:v>
      </x:c>
      <x:c r="D31" s="3" t="str">
        <x:v>PRO.VALIDATE</x:v>
      </x:c>
      <x:c r="E31" s="3" t="str">
        <x:v>Boundary</x:v>
      </x:c>
      <x:c r="F31" s="3" t="str">
        <x:v>Unit + Integration</x:v>
      </x:c>
      <x:c r="G31" s="3" t="str">
        <x:v>Source</x:v>
      </x:c>
      <x:c r="H31" s="3" t="str">
        <x:v>User A với DS-PROFILE đầy đủ hoặc incomplete; QueryClient mới; file avatar tổng hợp an toàn DS-FILES. API media/profile hỗ trợ mock response độc lập.</x:v>
      </x:c>
      <x:c r="I31" s="3" t="str">
        <x:v>DS-PROFILE form; companyPhone="01111"</x:v>
      </x:c>
      <x:c r="J31" s="3" t="str">
        <x:v>1. Khôi phục bộ dữ liệu hợp lệ.
2. Chỉ thay companyPhone bằng giá trị nêu trong dữ liệu.
3. Submit và quan sát lỗi cùng lời gọi service.</x:v>
      </x:c>
      <x:c r="K31" s="3" t="str">
        <x:v>Báo lỗi tại companyPhone; không gửi mutation khi giá trị chưa hợp lệ.</x:v>
      </x:c>
      <x:c r="L31" s="3" t="str">
        <x:v>src/features/profile/schemas/profile-form.schema.ts:15</x:v>
      </x:c>
      <x:c r="M31" s="3" t="str">
        <x:v>Đề xuất Unit + Integration | Test liên quan, chưa xác nhận phủ ca: src/features/profile/schemas/profile-form.schema.test.ts</x:v>
      </x:c>
      <x:c r="N31" s="10" t="str">
        <x:v>Pass</x:v>
      </x:c>
      <x:c r="O31" s="10" t="str">
        <x:v>Assertion gắn ID đã pass qua UI/service boundary hoặc rule tương ứng; xem tên assertion trong assertions.json.</x:v>
      </x:c>
      <x:c r="P31" s="10" t="str">
        <x:v>execution/results.json → PRO-027
execution/assertions.json</x:v>
      </x:c>
      <x:c r="Q31" s="10" t="str">
        <x:v>Codex — local automated QA</x:v>
      </x:c>
      <x:c r="R31" s="11" t="d">
        <x:v>2026-10-18T05:30:31.999Z</x:v>
      </x:c>
    </x:row>
    <x:row r="32" ht="94" customHeight="1">
      <x:c r="A32" s="3" t="str">
        <x:v>PRO-028</x:v>
      </x:c>
      <x:c r="B32" s="3" t="str">
        <x:v>companyPhone: 6 ký tự</x:v>
      </x:c>
      <x:c r="C32" s="3" t="str">
        <x:v>P1</x:v>
      </x:c>
      <x:c r="D32" s="3" t="str">
        <x:v>PRO.VALIDATE</x:v>
      </x:c>
      <x:c r="E32" s="3" t="str">
        <x:v>Boundary</x:v>
      </x:c>
      <x:c r="F32" s="3" t="str">
        <x:v>Unit + Integration</x:v>
      </x:c>
      <x:c r="G32" s="3" t="str">
        <x:v>Source</x:v>
      </x:c>
      <x:c r="H32" s="3" t="str">
        <x:v>User A với DS-PROFILE đầy đủ hoặc incomplete; QueryClient mới; file avatar tổng hợp an toàn DS-FILES. API media/profile hỗ trợ mock response độc lập.</x:v>
      </x:c>
      <x:c r="I32" s="3" t="str">
        <x:v>DS-PROFILE form; companyPhone="011111"</x:v>
      </x:c>
      <x:c r="J32" s="3" t="str">
        <x:v>1. Khôi phục bộ dữ liệu hợp lệ.
2. Chỉ thay companyPhone bằng giá trị nêu trong dữ liệu.
3. Submit và quan sát lỗi cùng lời gọi service.</x:v>
      </x:c>
      <x:c r="K32" s="3" t="str">
        <x:v>Form chấp nhận ngưỡng hợp lệ; giá trị string được trim; không tự áp rule khác chưa được PO thống nhất.</x:v>
      </x:c>
      <x:c r="L32" s="3" t="str">
        <x:v>src/features/profile/schemas/profile-form.schema.ts:15</x:v>
      </x:c>
      <x:c r="M32" s="3" t="str">
        <x:v>Đề xuất Unit + Integration | Test liên quan, chưa xác nhận phủ ca: src/features/profile/schemas/profile-form.schema.test.ts</x:v>
      </x:c>
      <x:c r="N32" s="10" t="str">
        <x:v>Pass</x:v>
      </x:c>
      <x:c r="O32" s="10" t="str">
        <x:v>Assertion gắn ID đã pass qua UI/service boundary hoặc rule tương ứng; xem tên assertion trong assertions.json.</x:v>
      </x:c>
      <x:c r="P32" s="10" t="str">
        <x:v>execution/results.json → PRO-028
execution/assertions.json</x:v>
      </x:c>
      <x:c r="Q32" s="10" t="str">
        <x:v>Codex — local automated QA</x:v>
      </x:c>
      <x:c r="R32" s="11" t="d">
        <x:v>2026-10-18T05:30:31.999Z</x:v>
      </x:c>
    </x:row>
    <x:row r="33" ht="94" customHeight="1">
      <x:c r="A33" s="3" t="str">
        <x:v>PRO-029</x:v>
      </x:c>
      <x:c r="B33" s="3" t="str">
        <x:v>companyPhone: 20 ký tự</x:v>
      </x:c>
      <x:c r="C33" s="3" t="str">
        <x:v>P1</x:v>
      </x:c>
      <x:c r="D33" s="3" t="str">
        <x:v>PRO.VALIDATE</x:v>
      </x:c>
      <x:c r="E33" s="3" t="str">
        <x:v>Boundary</x:v>
      </x:c>
      <x:c r="F33" s="3" t="str">
        <x:v>Unit + Integration</x:v>
      </x:c>
      <x:c r="G33" s="3" t="str">
        <x:v>Source</x:v>
      </x:c>
      <x:c r="H33" s="3" t="str">
        <x:v>User A với DS-PROFILE đầy đủ hoặc incomplete; QueryClient mới; file avatar tổng hợp an toàn DS-FILES. API media/profile hỗ trợ mock response độc lập.</x:v>
      </x:c>
      <x:c r="I33" s="3" t="str">
        <x:v>DS-PROFILE form; companyPhone="01111111111111111111"</x:v>
      </x:c>
      <x:c r="J33" s="3" t="str">
        <x:v>1. Khôi phục bộ dữ liệu hợp lệ.
2. Chỉ thay companyPhone bằng giá trị nêu trong dữ liệu.
3. Submit và quan sát lỗi cùng lời gọi service.</x:v>
      </x:c>
      <x:c r="K33" s="3" t="str">
        <x:v>Form chấp nhận ngưỡng hợp lệ; giá trị string được trim; không tự áp rule khác chưa được PO thống nhất.</x:v>
      </x:c>
      <x:c r="L33" s="3" t="str">
        <x:v>src/features/profile/schemas/profile-form.schema.ts:15</x:v>
      </x:c>
      <x:c r="M33" s="3" t="str">
        <x:v>Đề xuất Unit + Integration | Test liên quan, chưa xác nhận phủ ca: src/features/profile/schemas/profile-form.schema.test.ts</x:v>
      </x:c>
      <x:c r="N33" s="10" t="str">
        <x:v>Pass</x:v>
      </x:c>
      <x:c r="O33" s="10" t="str">
        <x:v>Assertion gắn ID đã pass qua UI/service boundary hoặc rule tương ứng; xem tên assertion trong assertions.json.</x:v>
      </x:c>
      <x:c r="P33" s="10" t="str">
        <x:v>execution/results.json → PRO-029
execution/assertions.json</x:v>
      </x:c>
      <x:c r="Q33" s="10" t="str">
        <x:v>Codex — local automated QA</x:v>
      </x:c>
      <x:c r="R33" s="11" t="d">
        <x:v>2026-10-18T05:30:31.999Z</x:v>
      </x:c>
    </x:row>
    <x:row r="34" ht="94" customHeight="1">
      <x:c r="A34" s="3" t="str">
        <x:v>PRO-030</x:v>
      </x:c>
      <x:c r="B34" s="3" t="str">
        <x:v>companyPhone: 21 ký tự</x:v>
      </x:c>
      <x:c r="C34" s="3" t="str">
        <x:v>P1</x:v>
      </x:c>
      <x:c r="D34" s="3" t="str">
        <x:v>PRO.VALIDATE</x:v>
      </x:c>
      <x:c r="E34" s="3" t="str">
        <x:v>Boundary</x:v>
      </x:c>
      <x:c r="F34" s="3" t="str">
        <x:v>Unit + Integration</x:v>
      </x:c>
      <x:c r="G34" s="3" t="str">
        <x:v>Source</x:v>
      </x:c>
      <x:c r="H34" s="3" t="str">
        <x:v>User A với DS-PROFILE đầy đủ hoặc incomplete; QueryClient mới; file avatar tổng hợp an toàn DS-FILES. API media/profile hỗ trợ mock response độc lập.</x:v>
      </x:c>
      <x:c r="I34" s="3" t="str">
        <x:v>DS-PROFILE form; companyPhone="011111111111111111111"</x:v>
      </x:c>
      <x:c r="J34" s="3" t="str">
        <x:v>1. Khôi phục bộ dữ liệu hợp lệ.
2. Chỉ thay companyPhone bằng giá trị nêu trong dữ liệu.
3. Submit và quan sát lỗi cùng lời gọi service.</x:v>
      </x:c>
      <x:c r="K34" s="3" t="str">
        <x:v>Báo lỗi tại companyPhone; không gửi mutation khi giá trị chưa hợp lệ.</x:v>
      </x:c>
      <x:c r="L34" s="3" t="str">
        <x:v>src/features/profile/schemas/profile-form.schema.ts:15</x:v>
      </x:c>
      <x:c r="M34" s="3" t="str">
        <x:v>Đề xuất Unit + Integration | Test liên quan, chưa xác nhận phủ ca: src/features/profile/schemas/profile-form.schema.test.ts</x:v>
      </x:c>
      <x:c r="N34" s="10" t="str">
        <x:v>Pass</x:v>
      </x:c>
      <x:c r="O34" s="10" t="str">
        <x:v>Assertion gắn ID đã pass qua UI/service boundary hoặc rule tương ứng; xem tên assertion trong assertions.json.</x:v>
      </x:c>
      <x:c r="P34" s="10" t="str">
        <x:v>execution/results.json → PRO-030
execution/assertions.json</x:v>
      </x:c>
      <x:c r="Q34" s="10" t="str">
        <x:v>Codex — local automated QA</x:v>
      </x:c>
      <x:c r="R34" s="11" t="d">
        <x:v>2026-10-18T05:30:31.999Z</x:v>
      </x:c>
    </x:row>
    <x:row r="35" ht="94" customHeight="1">
      <x:c r="A35" s="3" t="str">
        <x:v>PRO-031</x:v>
      </x:c>
      <x:c r="B35" s="3" t="str">
        <x:v>businessRegistrationNumber: rỗng</x:v>
      </x:c>
      <x:c r="C35" s="3" t="str">
        <x:v>P1</x:v>
      </x:c>
      <x:c r="D35" s="3" t="str">
        <x:v>PRO.VALIDATE</x:v>
      </x:c>
      <x:c r="E35" s="3" t="str">
        <x:v>Boundary</x:v>
      </x:c>
      <x:c r="F35" s="3" t="str">
        <x:v>Unit + Integration</x:v>
      </x:c>
      <x:c r="G35" s="3" t="str">
        <x:v>Source</x:v>
      </x:c>
      <x:c r="H35" s="3" t="str">
        <x:v>User A với DS-PROFILE đầy đủ hoặc incomplete; QueryClient mới; file avatar tổng hợp an toàn DS-FILES. API media/profile hỗ trợ mock response độc lập.</x:v>
      </x:c>
      <x:c r="I35" s="3" t="str">
        <x:v>DS-PROFILE form; businessRegistrationNumber=""</x:v>
      </x:c>
      <x:c r="J35" s="3" t="str">
        <x:v>1. Khôi phục bộ dữ liệu hợp lệ.
2. Chỉ thay businessRegistrationNumber bằng giá trị nêu trong dữ liệu.
3. Submit và quan sát lỗi cùng lời gọi service.</x:v>
      </x:c>
      <x:c r="K35" s="3" t="str">
        <x:v>Form chấp nhận ngưỡng hợp lệ; giá trị string được trim; không tự áp rule khác chưa được PO thống nhất.</x:v>
      </x:c>
      <x:c r="L35" s="3" t="str">
        <x:v>src/features/profile/schemas/profile-form.schema.ts:15</x:v>
      </x:c>
      <x:c r="M35" s="3" t="str">
        <x:v>Đề xuất Unit + Integration | Test liên quan, chưa xác nhận phủ ca: src/features/profile/schemas/profile-form.schema.test.ts</x:v>
      </x:c>
      <x:c r="N35" s="10" t="str">
        <x:v>Pass</x:v>
      </x:c>
      <x:c r="O35" s="10" t="str">
        <x:v>Assertion gắn ID đã pass qua UI/service boundary hoặc rule tương ứng; xem tên assertion trong assertions.json.</x:v>
      </x:c>
      <x:c r="P35" s="10" t="str">
        <x:v>execution/results.json → PRO-031
execution/assertions.json</x:v>
      </x:c>
      <x:c r="Q35" s="10" t="str">
        <x:v>Codex — local automated QA</x:v>
      </x:c>
      <x:c r="R35" s="11" t="d">
        <x:v>2026-10-18T05:30:31.999Z</x:v>
      </x:c>
    </x:row>
    <x:row r="36" ht="94" customHeight="1">
      <x:c r="A36" s="3" t="str">
        <x:v>PRO-032</x:v>
      </x:c>
      <x:c r="B36" s="3" t="str">
        <x:v>businessRegistrationNumber: 2 ký tự</x:v>
      </x:c>
      <x:c r="C36" s="3" t="str">
        <x:v>P1</x:v>
      </x:c>
      <x:c r="D36" s="3" t="str">
        <x:v>PRO.VALIDATE</x:v>
      </x:c>
      <x:c r="E36" s="3" t="str">
        <x:v>Boundary</x:v>
      </x:c>
      <x:c r="F36" s="3" t="str">
        <x:v>Unit + Integration</x:v>
      </x:c>
      <x:c r="G36" s="3" t="str">
        <x:v>Source</x:v>
      </x:c>
      <x:c r="H36" s="3" t="str">
        <x:v>User A với DS-PROFILE đầy đủ hoặc incomplete; QueryClient mới; file avatar tổng hợp an toàn DS-FILES. API media/profile hỗ trợ mock response độc lập.</x:v>
      </x:c>
      <x:c r="I36" s="3" t="str">
        <x:v>DS-PROFILE form; businessRegistrationNumber="AA"</x:v>
      </x:c>
      <x:c r="J36" s="3" t="str">
        <x:v>1. Khôi phục bộ dữ liệu hợp lệ.
2. Chỉ thay businessRegistrationNumber bằng giá trị nêu trong dữ liệu.
3. Submit và quan sát lỗi cùng lời gọi service.</x:v>
      </x:c>
      <x:c r="K36" s="3" t="str">
        <x:v>Báo lỗi tại businessRegistrationNumber; không gửi mutation khi giá trị chưa hợp lệ.</x:v>
      </x:c>
      <x:c r="L36" s="3" t="str">
        <x:v>src/features/profile/schemas/profile-form.schema.ts:15</x:v>
      </x:c>
      <x:c r="M36" s="3" t="str">
        <x:v>Đề xuất Unit + Integration | Test liên quan, chưa xác nhận phủ ca: src/features/profile/schemas/profile-form.schema.test.ts</x:v>
      </x:c>
      <x:c r="N36" s="10" t="str">
        <x:v>Pass</x:v>
      </x:c>
      <x:c r="O36" s="10" t="str">
        <x:v>Assertion gắn ID đã pass qua UI/service boundary hoặc rule tương ứng; xem tên assertion trong assertions.json.</x:v>
      </x:c>
      <x:c r="P36" s="10" t="str">
        <x:v>execution/results.json → PRO-032
execution/assertions.json</x:v>
      </x:c>
      <x:c r="Q36" s="10" t="str">
        <x:v>Codex — local automated QA</x:v>
      </x:c>
      <x:c r="R36" s="11" t="d">
        <x:v>2026-10-18T05:30:31.999Z</x:v>
      </x:c>
    </x:row>
    <x:row r="37" ht="94" customHeight="1">
      <x:c r="A37" s="3" t="str">
        <x:v>PRO-033</x:v>
      </x:c>
      <x:c r="B37" s="3" t="str">
        <x:v>businessRegistrationNumber: 3 ký tự</x:v>
      </x:c>
      <x:c r="C37" s="3" t="str">
        <x:v>P1</x:v>
      </x:c>
      <x:c r="D37" s="3" t="str">
        <x:v>PRO.VALIDATE</x:v>
      </x:c>
      <x:c r="E37" s="3" t="str">
        <x:v>Boundary</x:v>
      </x:c>
      <x:c r="F37" s="3" t="str">
        <x:v>Unit + Integration</x:v>
      </x:c>
      <x:c r="G37" s="3" t="str">
        <x:v>Source</x:v>
      </x:c>
      <x:c r="H37" s="3" t="str">
        <x:v>User A với DS-PROFILE đầy đủ hoặc incomplete; QueryClient mới; file avatar tổng hợp an toàn DS-FILES. API media/profile hỗ trợ mock response độc lập.</x:v>
      </x:c>
      <x:c r="I37" s="3" t="str">
        <x:v>DS-PROFILE form; businessRegistrationNumber="AAA"</x:v>
      </x:c>
      <x:c r="J37" s="3" t="str">
        <x:v>1. Khôi phục bộ dữ liệu hợp lệ.
2. Chỉ thay businessRegistrationNumber bằng giá trị nêu trong dữ liệu.
3. Submit và quan sát lỗi cùng lời gọi service.</x:v>
      </x:c>
      <x:c r="K37" s="3" t="str">
        <x:v>Form chấp nhận ngưỡng hợp lệ; giá trị string được trim; không tự áp rule khác chưa được PO thống nhất.</x:v>
      </x:c>
      <x:c r="L37" s="3" t="str">
        <x:v>src/features/profile/schemas/profile-form.schema.ts:15</x:v>
      </x:c>
      <x:c r="M37" s="3" t="str">
        <x:v>Đề xuất Unit + Integration | Test liên quan, chưa xác nhận phủ ca: src/features/profile/schemas/profile-form.schema.test.ts</x:v>
      </x:c>
      <x:c r="N37" s="10" t="str">
        <x:v>Pass</x:v>
      </x:c>
      <x:c r="O37" s="10" t="str">
        <x:v>Assertion gắn ID đã pass qua UI/service boundary hoặc rule tương ứng; xem tên assertion trong assertions.json.</x:v>
      </x:c>
      <x:c r="P37" s="10" t="str">
        <x:v>execution/results.json → PRO-033
execution/assertions.json</x:v>
      </x:c>
      <x:c r="Q37" s="10" t="str">
        <x:v>Codex — local automated QA</x:v>
      </x:c>
      <x:c r="R37" s="11" t="d">
        <x:v>2026-10-18T05:30:31.999Z</x:v>
      </x:c>
    </x:row>
    <x:row r="38" ht="94" customHeight="1">
      <x:c r="A38" s="3" t="str">
        <x:v>PRO-034</x:v>
      </x:c>
      <x:c r="B38" s="3" t="str">
        <x:v>businessRegistrationNumber: 40 ký tự</x:v>
      </x:c>
      <x:c r="C38" s="3" t="str">
        <x:v>P1</x:v>
      </x:c>
      <x:c r="D38" s="3" t="str">
        <x:v>PRO.VALIDATE</x:v>
      </x:c>
      <x:c r="E38" s="3" t="str">
        <x:v>Boundary</x:v>
      </x:c>
      <x:c r="F38" s="3" t="str">
        <x:v>Unit + Integration</x:v>
      </x:c>
      <x:c r="G38" s="3" t="str">
        <x:v>Source</x:v>
      </x:c>
      <x:c r="H38" s="3" t="str">
        <x:v>User A với DS-PROFILE đầy đủ hoặc incomplete; QueryClient mới; file avatar tổng hợp an toàn DS-FILES. API media/profile hỗ trợ mock response độc lập.</x:v>
      </x:c>
      <x:c r="I38" s="3" t="str">
        <x:v>DS-PROFILE form; businessRegistrationNumber="AAAAAAAAAAAAAAAAAAAAAAAAAAAAAAAAAAAAAAAA"</x:v>
      </x:c>
      <x:c r="J38" s="3" t="str">
        <x:v>1. Khôi phục bộ dữ liệu hợp lệ.
2. Chỉ thay businessRegistrationNumber bằng giá trị nêu trong dữ liệu.
3. Submit và quan sát lỗi cùng lời gọi service.</x:v>
      </x:c>
      <x:c r="K38" s="3" t="str">
        <x:v>Form chấp nhận ngưỡng hợp lệ; giá trị string được trim; không tự áp rule khác chưa được PO thống nhất.</x:v>
      </x:c>
      <x:c r="L38" s="3" t="str">
        <x:v>src/features/profile/schemas/profile-form.schema.ts:15</x:v>
      </x:c>
      <x:c r="M38" s="3" t="str">
        <x:v>Đề xuất Unit + Integration | Test liên quan, chưa xác nhận phủ ca: src/features/profile/schemas/profile-form.schema.test.ts</x:v>
      </x:c>
      <x:c r="N38" s="10" t="str">
        <x:v>Pass</x:v>
      </x:c>
      <x:c r="O38" s="10" t="str">
        <x:v>Assertion gắn ID đã pass qua UI/service boundary hoặc rule tương ứng; xem tên assertion trong assertions.json.</x:v>
      </x:c>
      <x:c r="P38" s="10" t="str">
        <x:v>execution/results.json → PRO-034
execution/assertions.json</x:v>
      </x:c>
      <x:c r="Q38" s="10" t="str">
        <x:v>Codex — local automated QA</x:v>
      </x:c>
      <x:c r="R38" s="11" t="d">
        <x:v>2026-10-18T05:30:31.999Z</x:v>
      </x:c>
    </x:row>
    <x:row r="39" ht="94" customHeight="1">
      <x:c r="A39" s="3" t="str">
        <x:v>PRO-035</x:v>
      </x:c>
      <x:c r="B39" s="3" t="str">
        <x:v>businessRegistrationNumber: 41 ký tự</x:v>
      </x:c>
      <x:c r="C39" s="3" t="str">
        <x:v>P1</x:v>
      </x:c>
      <x:c r="D39" s="3" t="str">
        <x:v>PRO.VALIDATE</x:v>
      </x:c>
      <x:c r="E39" s="3" t="str">
        <x:v>Boundary</x:v>
      </x:c>
      <x:c r="F39" s="3" t="str">
        <x:v>Unit + Integration</x:v>
      </x:c>
      <x:c r="G39" s="3" t="str">
        <x:v>Source</x:v>
      </x:c>
      <x:c r="H39" s="3" t="str">
        <x:v>User A với DS-PROFILE đầy đủ hoặc incomplete; QueryClient mới; file avatar tổng hợp an toàn DS-FILES. API media/profile hỗ trợ mock response độc lập.</x:v>
      </x:c>
      <x:c r="I39" s="3" t="str">
        <x:v>DS-PROFILE form; businessRegistrationNumber="AAAAAAAAAAAAAAAAAAAAAAAAAAAAAAAAAAAAAAAAA"</x:v>
      </x:c>
      <x:c r="J39" s="3" t="str">
        <x:v>1. Khôi phục bộ dữ liệu hợp lệ.
2. Chỉ thay businessRegistrationNumber bằng giá trị nêu trong dữ liệu.
3. Submit và quan sát lỗi cùng lời gọi service.</x:v>
      </x:c>
      <x:c r="K39" s="3" t="str">
        <x:v>Báo lỗi tại businessRegistrationNumber; không gửi mutation khi giá trị chưa hợp lệ.</x:v>
      </x:c>
      <x:c r="L39" s="3" t="str">
        <x:v>src/features/profile/schemas/profile-form.schema.ts:15</x:v>
      </x:c>
      <x:c r="M39" s="3" t="str">
        <x:v>Đề xuất Unit + Integration | Test liên quan, chưa xác nhận phủ ca: src/features/profile/schemas/profile-form.schema.test.ts</x:v>
      </x:c>
      <x:c r="N39" s="10" t="str">
        <x:v>Pass</x:v>
      </x:c>
      <x:c r="O39" s="10" t="str">
        <x:v>Assertion gắn ID đã pass qua UI/service boundary hoặc rule tương ứng; xem tên assertion trong assertions.json.</x:v>
      </x:c>
      <x:c r="P39" s="10" t="str">
        <x:v>execution/results.json → PRO-035
execution/assertions.json</x:v>
      </x:c>
      <x:c r="Q39" s="10" t="str">
        <x:v>Codex — local automated QA</x:v>
      </x:c>
      <x:c r="R39" s="11" t="d">
        <x:v>2026-10-18T05:30:31.999Z</x:v>
      </x:c>
    </x:row>
    <x:row r="40" ht="94" customHeight="1">
      <x:c r="A40" s="3" t="str">
        <x:v>PRO-036</x:v>
      </x:c>
      <x:c r="B40" s="3" t="str">
        <x:v>Email sai và country rỗng</x:v>
      </x:c>
      <x:c r="C40" s="3" t="str">
        <x:v>P1</x:v>
      </x:c>
      <x:c r="D40" s="3" t="str">
        <x:v>PRO.VALIDATE</x:v>
      </x:c>
      <x:c r="E40" s="3" t="str">
        <x:v>Negative</x:v>
      </x:c>
      <x:c r="F40" s="3" t="str">
        <x:v>Integration</x:v>
      </x:c>
      <x:c r="G40" s="3" t="str">
        <x:v>Source</x:v>
      </x:c>
      <x:c r="H40" s="3" t="str">
        <x:v>User A với DS-PROFILE đầy đủ hoặc incomplete; QueryClient mới; file avatar tổng hợp an toàn DS-FILES. API media/profile hỗ trợ mock response độc lập.</x:v>
      </x:c>
      <x:c r="I40" s="3" t="str">
        <x:v>email=bad; country=""</x:v>
      </x:c>
      <x:c r="J40" s="3" t="str">
        <x:v>1. Đổi từng field.
2. Submit.</x:v>
      </x:c>
      <x:c r="K40" s="3" t="str">
        <x:v>Báo lỗi tương ứng; không PUT profile.</x:v>
      </x:c>
      <x:c r="L40" s="3" t="str">
        <x:v>src/features/profile/schemas/profile-form.schema.ts:15</x:v>
      </x:c>
      <x:c r="M40" s="3" t="str">
        <x:v>Đề xuất Integration | Test liên quan, chưa xác nhận phủ ca: src/features/profile/schemas/profile-form.schema.test.ts</x:v>
      </x:c>
      <x:c r="N40" s="10" t="str">
        <x:v>Not run</x:v>
      </x:c>
      <x:c r="O40" s="10" t="str">
        <x:v>MỘT PHẦN: Đã chạy một phần validation/save/error và giữ file khi avatar save lỗi; chưa đầy đủ các nhánh response normalize, từng biên hoặc upload-success/PUT-fail.</x:v>
      </x:c>
      <x:c r="P40" s="10" t="str">
        <x:v>execution/results.json → PRO-036
execution/assertions.json</x:v>
      </x:c>
      <x:c r="Q40" s="10" t="str">
        <x:v>Codex — local automated QA</x:v>
      </x:c>
      <x:c r="R40" s="11" t="d">
        <x:v>2026-10-18T05:30:31.999Z</x:v>
      </x:c>
    </x:row>
    <x:row r="41" ht="102" customHeight="1">
      <x:c r="A41" s="3" t="str">
        <x:v>PRO-037</x:v>
      </x:c>
      <x:c r="B41" s="3" t="str">
        <x:v>Map delivery/billing khi cập nhật</x:v>
      </x:c>
      <x:c r="C41" s="3" t="str">
        <x:v>P1</x:v>
      </x:c>
      <x:c r="D41" s="3" t="str">
        <x:v>PRO.BILLING</x:v>
      </x:c>
      <x:c r="E41" s="3" t="str">
        <x:v>Contract</x:v>
      </x:c>
      <x:c r="F41" s="3" t="str">
        <x:v>Integration</x:v>
      </x:c>
      <x:c r="G41" s="3" t="str">
        <x:v>Source</x:v>
      </x:c>
      <x:c r="H41" s="3" t="str">
        <x:v>User A với DS-PROFILE đầy đủ hoặc incomplete; QueryClient mới; file avatar tổng hợp an toàn DS-FILES. API media/profile hỗ trợ mock response độc lập.</x:v>
      </x:c>
      <x:c r="I41" s="3" t="str">
        <x:v>same=true rồi false; billing cũ khác delivery</x:v>
      </x:c>
      <x:c r="J41" s="3" t="str">
        <x:v>1. Sửa delivery và save với same=true.
2. Lặp same=false.</x:v>
      </x:c>
      <x:c r="K41" s="3" t="str">
        <x:v>PUT map phone-&gt;phoneNumber, billingSame-&gt;sameAsDelivery; true gửi cùng delivery làm billing; false giữ currentUser.billingAddress (UI hiện chưa có field sửa billing riêng).</x:v>
      </x:c>
      <x:c r="L41" s="3" t="str">
        <x:v>src/features/profile/api/profile.service.ts:41
src/features/profile/components/profile-form.tsx:47
src/features/profile/schemas/profile-form.schema.ts:15</x:v>
      </x:c>
      <x:c r="M41" s="3" t="str">
        <x:v>Đề xuất Integration | Test liên quan, chưa xác nhận phủ ca: src/features/profile/api/profile.service.test.ts, src/features/profile/schemas/profile-form.schema.test.ts</x:v>
      </x:c>
      <x:c r="N41" s="10" t="str">
        <x:v>Pass</x:v>
      </x:c>
      <x:c r="O41" s="10" t="str">
        <x:v>Mapping/null normalization, tách form, delivery/billing payload và đổi mật khẩu đã pass qua service/UI boundary.</x:v>
      </x:c>
      <x:c r="P41" s="10" t="str">
        <x:v>execution/results.json → PRO-037
execution/assertions.json</x:v>
      </x:c>
      <x:c r="Q41" s="10" t="str">
        <x:v>Codex — local automated QA</x:v>
      </x:c>
      <x:c r="R41" s="11" t="d">
        <x:v>2026-10-18T05:30:31.999Z</x:v>
      </x:c>
    </x:row>
    <x:row r="42" ht="102" customHeight="1">
      <x:c r="A42" s="3" t="str">
        <x:v>PRO-038</x:v>
      </x:c>
      <x:c r="B42" s="3" t="str">
        <x:v>Response normalize và error giữ dữ liệu</x:v>
      </x:c>
      <x:c r="C42" s="3" t="str">
        <x:v>P1</x:v>
      </x:c>
      <x:c r="D42" s="3" t="str">
        <x:v>PRO.SAVE</x:v>
      </x:c>
      <x:c r="E42" s="3" t="str">
        <x:v>Negative</x:v>
      </x:c>
      <x:c r="F42" s="3" t="str">
        <x:v>Integration</x:v>
      </x:c>
      <x:c r="G42" s="3" t="str">
        <x:v>Source</x:v>
      </x:c>
      <x:c r="H42" s="3" t="str">
        <x:v>User A với DS-PROFILE đầy đủ hoặc incomplete; QueryClient mới; file avatar tổng hợp an toàn DS-FILES. API media/profile hỗ trợ mock response độc lập.</x:v>
      </x:c>
      <x:c r="I42" s="3" t="str">
        <x:v>PUT=422 hoặc malformed rồi200 có canonical values</x:v>
      </x:c>
      <x:c r="J42" s="3" t="str">
        <x:v>1. Submit edit.
2. Cho lỗi rồi sửa/retry.</x:v>
      </x:c>
      <x:c r="K42" s="3" t="str">
        <x:v>Lỗi không ghi cache thành dữ liệu giả hoặc xóa input;200 dùng response server; không tự retry mutation.</x:v>
      </x:c>
      <x:c r="L42" s="3" t="str">
        <x:v>src/features/profile/api/profile.service.ts:41
src/features/profile/components/profile-form.tsx:47
src/features/profile/schemas/profile-form.schema.ts:15</x:v>
      </x:c>
      <x:c r="M42" s="3" t="str">
        <x:v>Đề xuất Integration | Test liên quan, chưa xác nhận phủ ca: src/features/profile/api/profile.service.test.ts, src/features/profile/schemas/profile-form.schema.test.ts</x:v>
      </x:c>
      <x:c r="N42" s="10" t="str">
        <x:v>Not run</x:v>
      </x:c>
      <x:c r="O42" s="10" t="str">
        <x:v>MỘT PHẦN: Đã chạy một phần validation/save/error và giữ file khi avatar save lỗi; chưa đầy đủ các nhánh response normalize, từng biên hoặc upload-success/PUT-fail.</x:v>
      </x:c>
      <x:c r="P42" s="10" t="str">
        <x:v>execution/results.json → PRO-038
execution/assertions.json</x:v>
      </x:c>
      <x:c r="Q42" s="10" t="str">
        <x:v>Codex — local automated QA</x:v>
      </x:c>
      <x:c r="R42" s="11" t="d">
        <x:v>2026-10-18T05:30:31.999Z</x:v>
      </x:c>
    </x:row>
    <x:row r="43" ht="102" customHeight="1">
      <x:c r="A43" s="3" t="str">
        <x:v>PRO-039</x:v>
      </x:c>
      <x:c r="B43" s="3" t="str">
        <x:v>Đổi mật khẩu hợp lệ</x:v>
      </x:c>
      <x:c r="C43" s="3" t="str">
        <x:v>P0</x:v>
      </x:c>
      <x:c r="D43" s="3" t="str">
        <x:v>PRO.PASSWORD</x:v>
      </x:c>
      <x:c r="E43" s="3" t="str">
        <x:v>Functional</x:v>
      </x:c>
      <x:c r="F43" s="3" t="str">
        <x:v>Integration</x:v>
      </x:c>
      <x:c r="G43" s="3" t="str">
        <x:v>Source</x:v>
      </x:c>
      <x:c r="H43" s="3" t="str">
        <x:v>User A với DS-PROFILE đầy đủ hoặc incomplete; QueryClient mới; file avatar tổng hợp an toàn DS-FILES. API media/profile hỗ trợ mock response độc lập.</x:v>
      </x:c>
      <x:c r="I43" s="3" t="str">
        <x:v>current=OldPass1!; new/confirm=NewPass1!</x:v>
      </x:c>
      <x:c r="J43" s="3" t="str">
        <x:v>1. Mở Security edit.
2. Submit hợp lệ.</x:v>
      </x:c>
      <x:c r="K43" s="3" t="str">
        <x:v>POST /auth/change-password có Bearer; thành công xóa cả3 password; thông báo; invalidate profile để tải lại passwordChangedAt.</x:v>
      </x:c>
      <x:c r="L43" s="3" t="str">
        <x:v>src/features/profile/api/profile.service.ts:41
src/features/profile/components/profile-security-card.tsx:20
src/features/profile/schemas/profile-form.schema.ts:15</x:v>
      </x:c>
      <x:c r="M43" s="3" t="str">
        <x:v>Đề xuất Integration | Test liên quan, chưa xác nhận phủ ca: src/features/profile/api/profile.service.test.ts, src/features/profile/schemas/profile-form.schema.test.ts</x:v>
      </x:c>
      <x:c r="N43" s="10" t="str">
        <x:v>Pass</x:v>
      </x:c>
      <x:c r="O43" s="10" t="str">
        <x:v>Mapping/null normalization, tách form, delivery/billing payload và đổi mật khẩu đã pass qua service/UI boundary.</x:v>
      </x:c>
      <x:c r="P43" s="10" t="str">
        <x:v>execution/results.json → PRO-039
execution/assertions.json</x:v>
      </x:c>
      <x:c r="Q43" s="10" t="str">
        <x:v>Codex — local automated QA</x:v>
      </x:c>
      <x:c r="R43" s="11" t="d">
        <x:v>2026-10-18T05:30:31.999Z</x:v>
      </x:c>
    </x:row>
    <x:row r="44" ht="102" customHeight="1">
      <x:c r="A44" s="3" t="str">
        <x:v>PRO-040</x:v>
      </x:c>
      <x:c r="B44" s="3" t="str">
        <x:v>Biên password và mismatch</x:v>
      </x:c>
      <x:c r="C44" s="3" t="str">
        <x:v>P1</x:v>
      </x:c>
      <x:c r="D44" s="3" t="str">
        <x:v>PRO.PASSWORD</x:v>
      </x:c>
      <x:c r="E44" s="3" t="str">
        <x:v>Boundary</x:v>
      </x:c>
      <x:c r="F44" s="3" t="str">
        <x:v>Integration</x:v>
      </x:c>
      <x:c r="G44" s="3" t="str">
        <x:v>Source</x:v>
      </x:c>
      <x:c r="H44" s="3" t="str">
        <x:v>User A với DS-PROFILE đầy đủ hoặc incomplete; QueryClient mới; file avatar tổng hợp an toàn DS-FILES. API media/profile hỗ trợ mock response độc lập.</x:v>
      </x:c>
      <x:c r="I44" s="3" t="str">
        <x:v>Mỗi field7 rồi8 ký tự; new khác confirm</x:v>
      </x:c>
      <x:c r="J44" s="3" t="str">
        <x:v>1. Thay lần lượt dữ liệu.
2. Submit.</x:v>
      </x:c>
      <x:c r="K44" s="3" t="str">
        <x:v>Mỗi field min8; confirm phải khớp; không request khi invalid; không tự áp max128 của login vào schema này.</x:v>
      </x:c>
      <x:c r="L44" s="3" t="str">
        <x:v>src/features/profile/api/profile.service.ts:41
src/features/profile/components/profile-security-card.tsx:20
src/features/profile/schemas/profile-form.schema.ts:15</x:v>
      </x:c>
      <x:c r="M44" s="3" t="str">
        <x:v>Đề xuất Integration | Test liên quan, chưa xác nhận phủ ca: src/features/profile/api/profile.service.test.ts, src/features/profile/schemas/profile-form.schema.test.ts</x:v>
      </x:c>
      <x:c r="N44" s="10" t="str">
        <x:v>Not run</x:v>
      </x:c>
      <x:c r="O44" s="10" t="str">
        <x:v>MỘT PHẦN: Đã chạy một phần validation/save/error và giữ file khi avatar save lỗi; chưa đầy đủ các nhánh response normalize, từng biên hoặc upload-success/PUT-fail.</x:v>
      </x:c>
      <x:c r="P44" s="10" t="str">
        <x:v>execution/results.json → PRO-040
execution/assertions.json</x:v>
      </x:c>
      <x:c r="Q44" s="10" t="str">
        <x:v>Codex — local automated QA</x:v>
      </x:c>
      <x:c r="R44" s="11" t="d">
        <x:v>2026-10-18T05:30:31.999Z</x:v>
      </x:c>
    </x:row>
    <x:row r="45" ht="102" customHeight="1">
      <x:c r="A45" s="3" t="str">
        <x:v>PRO-041</x:v>
      </x:c>
      <x:c r="B45" s="3" t="str">
        <x:v>Sai mật khẩu hiện tại và chính sách phiên</x:v>
      </x:c>
      <x:c r="C45" s="3" t="str">
        <x:v>P1</x:v>
      </x:c>
      <x:c r="D45" s="3" t="str">
        <x:v>PRO.PASSWORD</x:v>
      </x:c>
      <x:c r="E45" s="3" t="str">
        <x:v>Negative</x:v>
      </x:c>
      <x:c r="F45" s="3" t="str">
        <x:v>Integration</x:v>
      </x:c>
      <x:c r="G45" s="3" t="str">
        <x:v>Integration contract</x:v>
      </x:c>
      <x:c r="H45" s="3" t="str">
        <x:v>User A với DS-PROFILE đầy đủ hoặc incomplete; QueryClient mới; file avatar tổng hợp an toàn DS-FILES. API media/profile hỗ trợ mock response độc lập.</x:v>
      </x:c>
      <x:c r="I45" s="3" t="str">
        <x:v>POST=400/401/422; new=current</x:v>
      </x:c>
      <x:c r="J45" s="3" t="str">
        <x:v>1. Gửi current sai.
2. Thử password trùng cũ.
3. Kiểm tra các phiên khác sau success sandbox.</x:v>
      </x:c>
      <x:c r="K45" s="3" t="str">
        <x:v>Lỗi hiển thị, không báo success; chính sách cấm reuse/revoke phiên cần backend/PO xác nhận, không mặc định đã có.</x:v>
      </x:c>
      <x:c r="L45" s="3" t="str">
        <x:v>src/features/profile/api/profile.service.ts:41
src/features/profile/components/profile-security-card.tsx:20
src/features/profile/schemas/profile-form.schema.ts:15</x:v>
      </x:c>
      <x:c r="M45" s="3" t="str">
        <x:v>Đề xuất Integration | Test liên quan, chưa xác nhận phủ ca: src/features/profile/api/profile.service.test.ts, src/features/profile/schemas/profile-form.schema.test.ts</x:v>
      </x:c>
      <x:c r="N45" s="10" t="str">
        <x:v>Not run</x:v>
      </x:c>
      <x:c r="O45" s="10" t="str">
        <x:v>Chưa thực thi đầy đủ các bước/expected của ca. Các test liên quan đã chạy, nhưng chưa có assertion đủ để gán Pass.</x:v>
      </x:c>
      <x:c r="P45" s="10" t="str">
        <x:v>execution/results.json → PRO-041
execution/assertions.json</x:v>
      </x:c>
      <x:c r="Q45" s="10" t="str"/>
      <x:c r="R45" s="11"/>
    </x:row>
    <x:row r="46" ht="102" customHeight="1">
      <x:c r="A46" s="3" t="str">
        <x:v>PRO-042</x:v>
      </x:c>
      <x:c r="B46" s="3" t="str">
        <x:v>Last changed khớp backend</x:v>
      </x:c>
      <x:c r="C46" s="3" t="str">
        <x:v>P2</x:v>
      </x:c>
      <x:c r="D46" s="3" t="str">
        <x:v>PRO.PASSWORD</x:v>
      </x:c>
      <x:c r="E46" s="3" t="str">
        <x:v>Functional</x:v>
      </x:c>
      <x:c r="F46" s="3" t="str">
        <x:v>Integration</x:v>
      </x:c>
      <x:c r="G46" s="3" t="str">
        <x:v>Quality target</x:v>
      </x:c>
      <x:c r="H46" s="3" t="str">
        <x:v>User A với DS-PROFILE đầy đủ hoặc incomplete; QueryClient mới; file avatar tổng hợp an toàn DS-FILES. API media/profile hỗ trợ mock response độc lập.</x:v>
      </x:c>
      <x:c r="I46" s="3" t="str">
        <x:v>passwordChangedAt hôm nay hoặc null</x:v>
      </x:c>
      <x:c r="J46" s="3" t="str">
        <x:v>1. Load profile.
2. Đổi password rồi reload.</x:v>
      </x:c>
      <x:c r="K46" s="3" t="str">
        <x:v>Hiển thị thời gian phản ánh backend/null; không cố định 3 months ago cho mọi tài khoản.
Dependency / lưu ý: Source ProfileSecurityCard đang hardcode time.</x:v>
      </x:c>
      <x:c r="L46" s="3" t="str">
        <x:v>src/features/profile/api/profile.service.ts:41
src/features/profile/components/profile-security-card.tsx:20
src/features/profile/schemas/profile-form.schema.ts:15</x:v>
      </x:c>
      <x:c r="M46" s="3" t="str">
        <x:v>Đề xuất Integration | Test liên quan, chưa xác nhận phủ ca: src/features/profile/api/profile.service.test.ts, src/features/profile/schemas/profile-form.schema.test.ts</x:v>
      </x:c>
      <x:c r="N46" s="10" t="str">
        <x:v>Pass</x:v>
      </x:c>
      <x:c r="O46" s="10" t="str">
        <x:v>Assertion gắn ID đã pass qua UI/service boundary hoặc rule tương ứng; xem tên assertion trong assertions.json.</x:v>
      </x:c>
      <x:c r="P46" s="10" t="str">
        <x:v>FIX-09
execution/results.json → PRO-042
execution/assertions.json</x:v>
      </x:c>
      <x:c r="Q46" s="10" t="str">
        <x:v>Codex — local automated QA</x:v>
      </x:c>
      <x:c r="R46" s="11" t="d">
        <x:v>2026-10-18T05:30:31.999Z</x:v>
      </x:c>
    </x:row>
    <x:row r="47" ht="94" customHeight="1">
      <x:c r="A47" s="3" t="str">
        <x:v>PRO-043</x:v>
      </x:c>
      <x:c r="B47" s="3" t="str">
        <x:v>JPEG và PNG hợp lệ</x:v>
      </x:c>
      <x:c r="C47" s="3" t="str">
        <x:v>P1</x:v>
      </x:c>
      <x:c r="D47" s="3" t="str">
        <x:v>PRO.AVATAR</x:v>
      </x:c>
      <x:c r="E47" s="3" t="str">
        <x:v>Functional</x:v>
      </x:c>
      <x:c r="F47" s="3" t="str">
        <x:v>Integration</x:v>
      </x:c>
      <x:c r="G47" s="3" t="str">
        <x:v>Source</x:v>
      </x:c>
      <x:c r="H47" s="3" t="str">
        <x:v>User A với DS-PROFILE đầy đủ hoặc incomplete; QueryClient mới; file avatar tổng hợp an toàn DS-FILES. API media/profile hỗ trợ mock response độc lập.</x:v>
      </x:c>
      <x:c r="I47" s="3" t="str">
        <x:v>DS-FILES jpg/png, size&lt;=1048576</x:v>
      </x:c>
      <x:c r="J47" s="3" t="str">
        <x:v>1. Mở dialog, chọn file.
2. Save và resolve upload rồi PUT.</x:v>
      </x:c>
      <x:c r="K47" s="3" t="str">
        <x:v>POST /me/profile/media multipart field file; sau đó PUT /me/profile với profilePictureMediaId; cache/avatar theo response mới.</x:v>
      </x:c>
      <x:c r="L47" s="3" t="str">
        <x:v>src/features/profile/api/profile.service.ts:41
src/features/profile/components/profile-avatar-dialog.tsx:28</x:v>
      </x:c>
      <x:c r="M47" s="3" t="str">
        <x:v>Đề xuất Integration | Test liên quan, chưa xác nhận phủ ca: src/features/profile/api/profile.service.test.ts</x:v>
      </x:c>
      <x:c r="N47" s="10" t="str">
        <x:v>Pass</x:v>
      </x:c>
      <x:c r="O47" s="10" t="str">
        <x:v>Assertion gắn ID đã pass qua UI/service boundary hoặc rule tương ứng; xem tên assertion trong assertions.json.</x:v>
      </x:c>
      <x:c r="P47" s="10" t="str">
        <x:v>execution/results.json → PRO-043
execution/assertions.json</x:v>
      </x:c>
      <x:c r="Q47" s="10" t="str">
        <x:v>Codex — local automated QA</x:v>
      </x:c>
      <x:c r="R47" s="11" t="d">
        <x:v>2026-10-18T05:30:31.999Z</x:v>
      </x:c>
    </x:row>
    <x:row r="48" ht="94" customHeight="1">
      <x:c r="A48" s="3" t="str">
        <x:v>PRO-044</x:v>
      </x:c>
      <x:c r="B48" s="3" t="str">
        <x:v>Upload boundary: JPEG 1048576 bytes</x:v>
      </x:c>
      <x:c r="C48" s="3" t="str">
        <x:v>P1</x:v>
      </x:c>
      <x:c r="D48" s="3" t="str">
        <x:v>PRO.AVATAR</x:v>
      </x:c>
      <x:c r="E48" s="3" t="str">
        <x:v>Boundary</x:v>
      </x:c>
      <x:c r="F48" s="3" t="str">
        <x:v>Integration</x:v>
      </x:c>
      <x:c r="G48" s="3" t="str">
        <x:v>Source</x:v>
      </x:c>
      <x:c r="H48" s="3" t="str">
        <x:v>User A với DS-PROFILE đầy đủ hoặc incomplete; QueryClient mới; file avatar tổng hợp an toàn DS-FILES. API media/profile hỗ trợ mock response độc lập.</x:v>
      </x:c>
      <x:c r="I48" s="3" t="str">
        <x:v>JPEG 1048576 bytes</x:v>
      </x:c>
      <x:c r="J48" s="3" t="str">
        <x:v>1. Chọn/kéo thả file.
2. Thử Save.</x:v>
      </x:c>
      <x:c r="K48" s="3" t="str">
        <x:v>File được chọn, Save bật và upload được.</x:v>
      </x:c>
      <x:c r="L48" s="3" t="str">
        <x:v>src/features/profile/api/profile.service.ts:41
src/features/profile/components/profile-avatar-dialog.tsx:28</x:v>
      </x:c>
      <x:c r="M48" s="3" t="str">
        <x:v>Đề xuất Integration | Test liên quan, chưa xác nhận phủ ca: src/features/profile/api/profile.service.test.ts</x:v>
      </x:c>
      <x:c r="N48" s="10" t="str">
        <x:v>Pass</x:v>
      </x:c>
      <x:c r="O48" s="10" t="str">
        <x:v>Assertion gắn ID đã pass qua UI/service boundary hoặc rule tương ứng; xem tên assertion trong assertions.json.</x:v>
      </x:c>
      <x:c r="P48" s="10" t="str">
        <x:v>execution/results.json → PRO-044
execution/assertions.json</x:v>
      </x:c>
      <x:c r="Q48" s="10" t="str">
        <x:v>Codex — local automated QA</x:v>
      </x:c>
      <x:c r="R48" s="11" t="d">
        <x:v>2026-10-18T05:30:31.999Z</x:v>
      </x:c>
    </x:row>
    <x:row r="49" ht="94" customHeight="1">
      <x:c r="A49" s="3" t="str">
        <x:v>PRO-045</x:v>
      </x:c>
      <x:c r="B49" s="3" t="str">
        <x:v>Upload boundary: PNG 1048577 bytes</x:v>
      </x:c>
      <x:c r="C49" s="3" t="str">
        <x:v>P1</x:v>
      </x:c>
      <x:c r="D49" s="3" t="str">
        <x:v>PRO.AVATAR</x:v>
      </x:c>
      <x:c r="E49" s="3" t="str">
        <x:v>Boundary</x:v>
      </x:c>
      <x:c r="F49" s="3" t="str">
        <x:v>Integration</x:v>
      </x:c>
      <x:c r="G49" s="3" t="str">
        <x:v>Source</x:v>
      </x:c>
      <x:c r="H49" s="3" t="str">
        <x:v>User A với DS-PROFILE đầy đủ hoặc incomplete; QueryClient mới; file avatar tổng hợp an toàn DS-FILES. API media/profile hỗ trợ mock response độc lập.</x:v>
      </x:c>
      <x:c r="I49" s="3" t="str">
        <x:v>PNG 1048577 bytes</x:v>
      </x:c>
      <x:c r="J49" s="3" t="str">
        <x:v>1. Chọn/kéo thả file.
2. Thử Save.</x:v>
      </x:c>
      <x:c r="K49" s="3" t="str">
        <x:v>Báo lỗi loại/kích thước, không upload file không hợp lệ.</x:v>
      </x:c>
      <x:c r="L49" s="3" t="str">
        <x:v>src/features/profile/api/profile.service.ts:41
src/features/profile/components/profile-avatar-dialog.tsx:28</x:v>
      </x:c>
      <x:c r="M49" s="3" t="str">
        <x:v>Đề xuất Integration | Test liên quan, chưa xác nhận phủ ca: src/features/profile/api/profile.service.test.ts</x:v>
      </x:c>
      <x:c r="N49" s="10" t="str">
        <x:v>Pass</x:v>
      </x:c>
      <x:c r="O49" s="10" t="str">
        <x:v>Assertion gắn ID đã pass qua UI/service boundary hoặc rule tương ứng; xem tên assertion trong assertions.json.</x:v>
      </x:c>
      <x:c r="P49" s="10" t="str">
        <x:v>execution/results.json → PRO-045
execution/assertions.json</x:v>
      </x:c>
      <x:c r="Q49" s="10" t="str">
        <x:v>Codex — local automated QA</x:v>
      </x:c>
      <x:c r="R49" s="11" t="d">
        <x:v>2026-10-18T05:30:31.999Z</x:v>
      </x:c>
    </x:row>
    <x:row r="50" ht="94" customHeight="1">
      <x:c r="A50" s="3" t="str">
        <x:v>PRO-046</x:v>
      </x:c>
      <x:c r="B50" s="3" t="str">
        <x:v>Upload boundary: GIF 1024 bytes</x:v>
      </x:c>
      <x:c r="C50" s="3" t="str">
        <x:v>P1</x:v>
      </x:c>
      <x:c r="D50" s="3" t="str">
        <x:v>PRO.AVATAR</x:v>
      </x:c>
      <x:c r="E50" s="3" t="str">
        <x:v>Boundary</x:v>
      </x:c>
      <x:c r="F50" s="3" t="str">
        <x:v>Integration</x:v>
      </x:c>
      <x:c r="G50" s="3" t="str">
        <x:v>Source</x:v>
      </x:c>
      <x:c r="H50" s="3" t="str">
        <x:v>User A với DS-PROFILE đầy đủ hoặc incomplete; QueryClient mới; file avatar tổng hợp an toàn DS-FILES. API media/profile hỗ trợ mock response độc lập.</x:v>
      </x:c>
      <x:c r="I50" s="3" t="str">
        <x:v>GIF 1024 bytes</x:v>
      </x:c>
      <x:c r="J50" s="3" t="str">
        <x:v>1. Chọn/kéo thả file.
2. Thử Save.</x:v>
      </x:c>
      <x:c r="K50" s="3" t="str">
        <x:v>Báo lỗi loại/kích thước, không upload file không hợp lệ.</x:v>
      </x:c>
      <x:c r="L50" s="3" t="str">
        <x:v>src/features/profile/api/profile.service.ts:41
src/features/profile/components/profile-avatar-dialog.tsx:28</x:v>
      </x:c>
      <x:c r="M50" s="3" t="str">
        <x:v>Đề xuất Integration | Test liên quan, chưa xác nhận phủ ca: src/features/profile/api/profile.service.test.ts</x:v>
      </x:c>
      <x:c r="N50" s="10" t="str">
        <x:v>Pass</x:v>
      </x:c>
      <x:c r="O50" s="10" t="str">
        <x:v>Assertion gắn ID đã pass qua UI/service boundary hoặc rule tương ứng; xem tên assertion trong assertions.json.</x:v>
      </x:c>
      <x:c r="P50" s="10" t="str">
        <x:v>execution/results.json → PRO-046
execution/assertions.json</x:v>
      </x:c>
      <x:c r="Q50" s="10" t="str">
        <x:v>Codex — local automated QA</x:v>
      </x:c>
      <x:c r="R50" s="11" t="d">
        <x:v>2026-10-18T05:30:31.999Z</x:v>
      </x:c>
    </x:row>
    <x:row r="51" ht="94" customHeight="1">
      <x:c r="A51" s="3" t="str">
        <x:v>PRO-047</x:v>
      </x:c>
      <x:c r="B51" s="3" t="str">
        <x:v>Upload boundary: SVG 1024 bytes</x:v>
      </x:c>
      <x:c r="C51" s="3" t="str">
        <x:v>P1</x:v>
      </x:c>
      <x:c r="D51" s="3" t="str">
        <x:v>PRO.AVATAR</x:v>
      </x:c>
      <x:c r="E51" s="3" t="str">
        <x:v>Boundary</x:v>
      </x:c>
      <x:c r="F51" s="3" t="str">
        <x:v>Integration</x:v>
      </x:c>
      <x:c r="G51" s="3" t="str">
        <x:v>Source</x:v>
      </x:c>
      <x:c r="H51" s="3" t="str">
        <x:v>User A với DS-PROFILE đầy đủ hoặc incomplete; QueryClient mới; file avatar tổng hợp an toàn DS-FILES. API media/profile hỗ trợ mock response độc lập.</x:v>
      </x:c>
      <x:c r="I51" s="3" t="str">
        <x:v>SVG 1024 bytes</x:v>
      </x:c>
      <x:c r="J51" s="3" t="str">
        <x:v>1. Chọn/kéo thả file.
2. Thử Save.</x:v>
      </x:c>
      <x:c r="K51" s="3" t="str">
        <x:v>Báo lỗi loại/kích thước, không upload file không hợp lệ.</x:v>
      </x:c>
      <x:c r="L51" s="3" t="str">
        <x:v>src/features/profile/api/profile.service.ts:41
src/features/profile/components/profile-avatar-dialog.tsx:28</x:v>
      </x:c>
      <x:c r="M51" s="3" t="str">
        <x:v>Đề xuất Integration | Test liên quan, chưa xác nhận phủ ca: src/features/profile/api/profile.service.test.ts</x:v>
      </x:c>
      <x:c r="N51" s="10" t="str">
        <x:v>Pass</x:v>
      </x:c>
      <x:c r="O51" s="10" t="str">
        <x:v>Assertion gắn ID đã pass qua UI/service boundary hoặc rule tương ứng; xem tên assertion trong assertions.json.</x:v>
      </x:c>
      <x:c r="P51" s="10" t="str">
        <x:v>execution/results.json → PRO-047
execution/assertions.json</x:v>
      </x:c>
      <x:c r="Q51" s="10" t="str">
        <x:v>Codex — local automated QA</x:v>
      </x:c>
      <x:c r="R51" s="11" t="d">
        <x:v>2026-10-18T05:30:31.999Z</x:v>
      </x:c>
    </x:row>
    <x:row r="52" ht="94" customHeight="1">
      <x:c r="A52" s="3" t="str">
        <x:v>PRO-048</x:v>
      </x:c>
      <x:c r="B52" s="3" t="str">
        <x:v>Upload boundary: file không MIME</x:v>
      </x:c>
      <x:c r="C52" s="3" t="str">
        <x:v>P1</x:v>
      </x:c>
      <x:c r="D52" s="3" t="str">
        <x:v>PRO.AVATAR</x:v>
      </x:c>
      <x:c r="E52" s="3" t="str">
        <x:v>Boundary</x:v>
      </x:c>
      <x:c r="F52" s="3" t="str">
        <x:v>Integration</x:v>
      </x:c>
      <x:c r="G52" s="3" t="str">
        <x:v>Source</x:v>
      </x:c>
      <x:c r="H52" s="3" t="str">
        <x:v>User A với DS-PROFILE đầy đủ hoặc incomplete; QueryClient mới; file avatar tổng hợp an toàn DS-FILES. API media/profile hỗ trợ mock response độc lập.</x:v>
      </x:c>
      <x:c r="I52" s="3" t="str">
        <x:v>file không MIME</x:v>
      </x:c>
      <x:c r="J52" s="3" t="str">
        <x:v>1. Chọn/kéo thả file.
2. Thử Save.</x:v>
      </x:c>
      <x:c r="K52" s="3" t="str">
        <x:v>Báo lỗi loại/kích thước, không upload file không hợp lệ.</x:v>
      </x:c>
      <x:c r="L52" s="3" t="str">
        <x:v>src/features/profile/api/profile.service.ts:41
src/features/profile/components/profile-avatar-dialog.tsx:28</x:v>
      </x:c>
      <x:c r="M52" s="3" t="str">
        <x:v>Đề xuất Integration | Test liên quan, chưa xác nhận phủ ca: src/features/profile/api/profile.service.test.ts</x:v>
      </x:c>
      <x:c r="N52" s="10" t="str">
        <x:v>Pass</x:v>
      </x:c>
      <x:c r="O52" s="10" t="str">
        <x:v>Assertion gắn ID đã pass qua UI/service boundary hoặc rule tương ứng; xem tên assertion trong assertions.json.</x:v>
      </x:c>
      <x:c r="P52" s="10" t="str">
        <x:v>execution/results.json → PRO-048
execution/assertions.json</x:v>
      </x:c>
      <x:c r="Q52" s="10" t="str">
        <x:v>Codex — local automated QA</x:v>
      </x:c>
      <x:c r="R52" s="11" t="d">
        <x:v>2026-10-18T05:30:31.999Z</x:v>
      </x:c>
    </x:row>
    <x:row r="53" ht="94" customHeight="1">
      <x:c r="A53" s="3" t="str">
        <x:v>PRO-049</x:v>
      </x:c>
      <x:c r="B53" s="3" t="str">
        <x:v>File hợp lệ rồi chọn file sai</x:v>
      </x:c>
      <x:c r="C53" s="3" t="str">
        <x:v>P1</x:v>
      </x:c>
      <x:c r="D53" s="3" t="str">
        <x:v>PRO.AVATAR</x:v>
      </x:c>
      <x:c r="E53" s="3" t="str">
        <x:v>Regression</x:v>
      </x:c>
      <x:c r="F53" s="3" t="str">
        <x:v>Integration</x:v>
      </x:c>
      <x:c r="G53" s="3" t="str">
        <x:v>Quality target</x:v>
      </x:c>
      <x:c r="H53" s="3" t="str">
        <x:v>User A với DS-PROFILE đầy đủ hoặc incomplete; QueryClient mới; file avatar tổng hợp an toàn DS-FILES. API media/profile hỗ trợ mock response độc lập.</x:v>
      </x:c>
      <x:c r="I53" s="3" t="str">
        <x:v>Chọn a.png rồi b.gif</x:v>
      </x:c>
      <x:c r="J53" s="3" t="str">
        <x:v>1. Chọn file hợp lệ.
2. Thay bằng file sai.
3. Click Save.</x:v>
      </x:c>
      <x:c r="K53" s="3" t="str">
        <x:v>Lỗi không dẫn tới upload nhầm file cũ dưới ý định file mới; trạng thái chọn/Save rõ ràng.
Dependency / lưu ý: selectFile trả sớm khi invalid nhưng không clear file cũ.</x:v>
      </x:c>
      <x:c r="L53" s="3" t="str">
        <x:v>src/features/profile/api/profile.service.ts:41
src/features/profile/components/profile-avatar-dialog.tsx:28</x:v>
      </x:c>
      <x:c r="M53" s="3" t="str">
        <x:v>Đề xuất Integration | Test liên quan, chưa xác nhận phủ ca: src/features/profile/api/profile.service.test.ts</x:v>
      </x:c>
      <x:c r="N53" s="10" t="str">
        <x:v>Pass</x:v>
      </x:c>
      <x:c r="O53" s="10" t="str">
        <x:v>Assertion gắn ID đã pass qua UI/service boundary hoặc rule tương ứng; xem tên assertion trong assertions.json.</x:v>
      </x:c>
      <x:c r="P53" s="10" t="str">
        <x:v>FIX-03
execution/results.json → PRO-049
execution/assertions.json</x:v>
      </x:c>
      <x:c r="Q53" s="10" t="str">
        <x:v>Codex — local automated QA</x:v>
      </x:c>
      <x:c r="R53" s="11" t="d">
        <x:v>2026-10-18T05:30:31.999Z</x:v>
      </x:c>
    </x:row>
    <x:row r="54" ht="94" customHeight="1">
      <x:c r="A54" s="3" t="str">
        <x:v>PRO-050</x:v>
      </x:c>
      <x:c r="B54" s="3" t="str">
        <x:v>Upload thành công nhưng profile save lỗi</x:v>
      </x:c>
      <x:c r="C54" s="3" t="str">
        <x:v>P1</x:v>
      </x:c>
      <x:c r="D54" s="3" t="str">
        <x:v>PRO.AVATAR</x:v>
      </x:c>
      <x:c r="E54" s="3" t="str">
        <x:v>Negative</x:v>
      </x:c>
      <x:c r="F54" s="3" t="str">
        <x:v>Integration</x:v>
      </x:c>
      <x:c r="G54" s="3" t="str">
        <x:v>Source</x:v>
      </x:c>
      <x:c r="H54" s="3" t="str">
        <x:v>User A với DS-PROFILE đầy đủ hoặc incomplete; QueryClient mới; file avatar tổng hợp an toàn DS-FILES. API media/profile hỗ trợ mock response độc lập.</x:v>
      </x:c>
      <x:c r="I54" s="3" t="str">
        <x:v>media=200 id mới; PUT=500</x:v>
      </x:c>
      <x:c r="J54" s="3" t="str">
        <x:v>1. Save avatar.
2. Reject PUT, rồi retry.</x:v>
      </x:c>
      <x:c r="K54" s="3" t="str">
        <x:v>Giữ dialog với lỗi, avatar cũ vẫn là dữ liệu xác nhận; không báo lưu thành công chỉ vì upload xong; retry có kiểm soát.</x:v>
      </x:c>
      <x:c r="L54" s="3" t="str">
        <x:v>src/features/profile/api/profile.service.ts:41
src/features/profile/components/profile-avatar-dialog.tsx:28</x:v>
      </x:c>
      <x:c r="M54" s="3" t="str">
        <x:v>Đề xuất Integration | Test liên quan, chưa xác nhận phủ ca: src/features/profile/api/profile.service.test.ts</x:v>
      </x:c>
      <x:c r="N54" s="10" t="str">
        <x:v>Not run</x:v>
      </x:c>
      <x:c r="O54" s="10" t="str">
        <x:v>MỘT PHẦN: Đã chạy một phần validation/save/error và giữ file khi avatar save lỗi; chưa đầy đủ các nhánh response normalize, từng biên hoặc upload-success/PUT-fail.</x:v>
      </x:c>
      <x:c r="P54" s="10" t="str">
        <x:v>execution/results.json → PRO-050
execution/assertions.json</x:v>
      </x:c>
      <x:c r="Q54" s="10" t="str">
        <x:v>Codex — local automated QA</x:v>
      </x:c>
      <x:c r="R54" s="11" t="d">
        <x:v>2026-10-18T05:30:31.999Z</x:v>
      </x:c>
    </x:row>
    <x:row r="55" ht="94" customHeight="1">
      <x:c r="A55" s="3" t="str">
        <x:v>PRO-051</x:v>
      </x:c>
      <x:c r="B55" s="3" t="str">
        <x:v>Remove, cancel, reopen và chọn cùng file</x:v>
      </x:c>
      <x:c r="C55" s="3" t="str">
        <x:v>P1</x:v>
      </x:c>
      <x:c r="D55" s="3" t="str">
        <x:v>PRO.AVATAR</x:v>
      </x:c>
      <x:c r="E55" s="3" t="str">
        <x:v>Regression</x:v>
      </x:c>
      <x:c r="F55" s="3" t="str">
        <x:v>Integration</x:v>
      </x:c>
      <x:c r="G55" s="3" t="str">
        <x:v>Source</x:v>
      </x:c>
      <x:c r="H55" s="3" t="str">
        <x:v>User A với DS-PROFILE đầy đủ hoặc incomplete; QueryClient mới; file avatar tổng hợp an toàn DS-FILES. API media/profile hỗ trợ mock response độc lập.</x:v>
      </x:c>
      <x:c r="I55" s="3" t="str">
        <x:v>Một file hợp lệ đã chọn</x:v>
      </x:c>
      <x:c r="J55" s="3" t="str">
        <x:v>1. Remove và chọn lại cùng file.
2. Cancel rồi reopen.
3. Save success và reopen.</x:v>
      </x:c>
      <x:c r="K55" s="3" t="str">
        <x:v>File input/validation/mutation được reset phù hợp; không giữ file hoặc progress cũ sau đóng/reopen.</x:v>
      </x:c>
      <x:c r="L55" s="3" t="str">
        <x:v>src/features/profile/api/profile.service.ts:41
src/features/profile/components/profile-avatar-dialog.tsx:28</x:v>
      </x:c>
      <x:c r="M55" s="3" t="str">
        <x:v>Đề xuất Integration | Test liên quan, chưa xác nhận phủ ca: src/features/profile/api/profile.service.test.ts</x:v>
      </x:c>
      <x:c r="N55" s="10" t="str">
        <x:v>Pass</x:v>
      </x:c>
      <x:c r="O55" s="10" t="str">
        <x:v>Assertion gắn ID đã pass qua UI/service boundary hoặc rule tương ứng; xem tên assertion trong assertions.json.</x:v>
      </x:c>
      <x:c r="P55" s="10" t="str">
        <x:v>FIX-03
execution/results.json → PRO-051
execution/assertions.json</x:v>
      </x:c>
      <x:c r="Q55" s="10" t="str">
        <x:v>Codex — local automated QA</x:v>
      </x:c>
      <x:c r="R55" s="11" t="d">
        <x:v>2026-10-18T05:30:31.999Z</x:v>
      </x:c>
    </x:row>
    <x:row r="56" ht="94" customHeight="1">
      <x:c r="A56" s="3" t="str">
        <x:v>PRO-052</x:v>
      </x:c>
      <x:c r="B56" s="3" t="str">
        <x:v>Pending, đóng dialog và phản hồi muộn</x:v>
      </x:c>
      <x:c r="C56" s="3" t="str">
        <x:v>P1</x:v>
      </x:c>
      <x:c r="D56" s="3" t="str">
        <x:v>PRO.AVATAR</x:v>
      </x:c>
      <x:c r="E56" s="3" t="str">
        <x:v>Concurrency</x:v>
      </x:c>
      <x:c r="F56" s="3" t="str">
        <x:v>Integration</x:v>
      </x:c>
      <x:c r="G56" s="3" t="str">
        <x:v>Quality target</x:v>
      </x:c>
      <x:c r="H56" s="3" t="str">
        <x:v>User A với DS-PROFILE đầy đủ hoặc incomplete; QueryClient mới; file avatar tổng hợp an toàn DS-FILES. API media/profile hỗ trợ mock response độc lập.</x:v>
      </x:c>
      <x:c r="I56" s="3" t="str">
        <x:v>Upload pending; user Cancel hoặc Escape</x:v>
      </x:c>
      <x:c r="J56" s="3" t="str">
        <x:v>1. Bắt đầu save.
2. Đóng dialog/chuyển account.
3. Resolve response cũ.</x:v>
      </x:c>
      <x:c r="K56" s="3" t="str">
        <x:v>Không ghi avatar vào user mới; pending không báo100% hoàn tất trước response; đóng không để state lạ khi reopen.</x:v>
      </x:c>
      <x:c r="L56" s="3" t="str">
        <x:v>src/features/profile/api/profile.service.ts:41
src/features/profile/components/profile-avatar-dialog.tsx:28</x:v>
      </x:c>
      <x:c r="M56" s="3" t="str">
        <x:v>Đề xuất Integration | Test liên quan, chưa xác nhận phủ ca: src/features/profile/api/profile.service.test.ts</x:v>
      </x:c>
      <x:c r="N56" s="10" t="str">
        <x:v>Pass</x:v>
      </x:c>
      <x:c r="O56" s="10" t="str">
        <x:v>Assertion gắn ID đã pass qua UI/service boundary hoặc rule tương ứng; xem tên assertion trong assertions.json.</x:v>
      </x:c>
      <x:c r="P56" s="10" t="str">
        <x:v>FIX-03
execution/results.json → PRO-052
execution/assertions.json</x:v>
      </x:c>
      <x:c r="Q56" s="10" t="str">
        <x:v>Codex — local automated QA</x:v>
      </x:c>
      <x:c r="R56" s="11" t="d">
        <x:v>2026-10-18T05:30:31.999Z</x:v>
      </x:c>
    </x:row>
    <x:row r="57" ht="106" customHeight="1">
      <x:c r="A57" s="3" t="str">
        <x:v>PRO-053</x:v>
      </x:c>
      <x:c r="B57" s="3" t="str">
        <x:v>File giả MIME và nội dung hỏng</x:v>
      </x:c>
      <x:c r="C57" s="3" t="str">
        <x:v>P1</x:v>
      </x:c>
      <x:c r="D57" s="3" t="str">
        <x:v>PRO.AVATAR</x:v>
      </x:c>
      <x:c r="E57" s="3" t="str">
        <x:v>Security</x:v>
      </x:c>
      <x:c r="F57" s="3" t="str">
        <x:v>API</x:v>
      </x:c>
      <x:c r="G57" s="3" t="str">
        <x:v>Security target</x:v>
      </x:c>
      <x:c r="H57" s="3" t="str">
        <x:v>User A với DS-PROFILE đầy đủ hoặc incomplete; QueryClient mới; file avatar tổng hợp an toàn DS-FILES. API media/profile hỗ trợ mock response độc lập.</x:v>
      </x:c>
      <x:c r="I57" s="3" t="str">
        <x:v>file text đặt type=image/png; JPEG0 bytes</x:v>
      </x:c>
      <x:c r="J57" s="3" t="str">
        <x:v>1. Gửi tới media API sandbox.</x:v>
      </x:c>
      <x:c r="K57" s="3" t="str">
        <x:v>Backend validate nội dung/kích thước, từ chối file giả/hỏng; frontend MIME/size không phải ranh giới bảo vệ.</x:v>
      </x:c>
      <x:c r="L57" s="3" t="str">
        <x:v>src/features/profile/api/profile.service.ts:41
src/features/profile/components/profile-avatar-dialog.tsx:28</x:v>
      </x:c>
      <x:c r="M57" s="3" t="str">
        <x:v>Đề xuất API | Test liên quan, chưa xác nhận phủ ca: src/features/profile/api/profile.service.test.ts</x:v>
      </x:c>
      <x:c r="N57" s="10" t="str">
        <x:v>Blocked</x:v>
      </x:c>
      <x:c r="O57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57" s="10" t="str">
        <x:v>execution/results.json → PRO-053
execution/assertions.json</x:v>
      </x:c>
      <x:c r="Q57" s="10" t="str">
        <x:v>Codex — local automated QA</x:v>
      </x:c>
      <x:c r="R57" s="11"/>
    </x:row>
    <x:row r="58" ht="94" customHeight="1">
      <x:c r="A58" s="3" t="str">
        <x:v>PRO-054</x:v>
      </x:c>
      <x:c r="B58" s="3" t="str">
        <x:v>Overview, error boundary và redirect alias</x:v>
      </x:c>
      <x:c r="C58" s="3" t="str">
        <x:v>P2</x:v>
      </x:c>
      <x:c r="D58" s="3" t="str">
        <x:v>PRO.DASHBOARD</x:v>
      </x:c>
      <x:c r="E58" s="3" t="str">
        <x:v>Functional</x:v>
      </x:c>
      <x:c r="F58" s="3" t="str">
        <x:v>Integration</x:v>
      </x:c>
      <x:c r="G58" s="3" t="str">
        <x:v>Source</x:v>
      </x:c>
      <x:c r="H58" s="3" t="str">
        <x:v>User A với DS-PROFILE đầy đủ hoặc incomplete; QueryClient mới; file avatar tổng hợp an toàn DS-FILES. API media/profile hỗ trợ mock response độc lập.</x:v>
      </x:c>
      <x:c r="I58" s="3" t="str">
        <x:v>User A; GET profile success/error; /dashboard/profile</x:v>
      </x:c>
      <x:c r="J58" s="3" t="str">
        <x:v>1. Mở Dashboard.
2. Thử lỗi và Reload.
3. Mở alias profile.</x:v>
      </x:c>
      <x:c r="K58" s="3" t="str">
        <x:v>Greeting/date theo user/locale; unknown/noData không suy role; boundary có reload; /dashboard/profile redirect /profile giữ locale.</x:v>
      </x:c>
      <x:c r="L58" s="3" t="str">
        <x:v>src/features/profile/components/dashboard-overview.tsx:12</x:v>
      </x:c>
      <x:c r="M58" s="3" t="str">
        <x:v>Đề xuất Integration | Chưa có test đồng vị trí cho hành vi này</x:v>
      </x:c>
      <x:c r="N58" s="10" t="str">
        <x:v>Not run</x:v>
      </x:c>
      <x:c r="O58" s="10" t="str">
        <x:v>Chưa thực thi đầy đủ các bước/expected của ca. Chưa có automation hoặc bằng chứng chạy ca tương ứng.</x:v>
      </x:c>
      <x:c r="P58" s="10" t="str">
        <x:v>execution/results.json → PRO-054
execution/assertions.json</x:v>
      </x:c>
      <x:c r="Q58" s="10" t="str"/>
      <x:c r="R58" s="11"/>
    </x:row>
  </x:sheetData>
  <x:conditionalFormatting sqref="N5:N58">
    <x:cfRule type="containsText" dxfId="30" priority="1" operator="containsText" text="Fail"/>
    <x:cfRule type="containsText" dxfId="31" priority="2" operator="containsText" text="Blocked"/>
  </x:conditionalFormatting>
  <x:conditionalFormatting sqref="C5:C58">
    <x:cfRule type="containsText" dxfId="32" priority="3" operator="containsText" text="P0"/>
  </x:conditionalFormatting>
  <x:dataValidations count="1">
    <x:dataValidation type="list" sqref="N5:N5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834c610cb349a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CON — Liên hệ và báo giá nhập tay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CON-001</x:v>
      </x:c>
      <x:c r="B5" s="3" t="str">
        <x:v>Route quyết định loại inquiry</x:v>
      </x:c>
      <x:c r="C5" s="3" t="str">
        <x:v>P1</x:v>
      </x:c>
      <x:c r="D5" s="3" t="str">
        <x:v>CON.TYPE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Guest hoặc A; DS-CONTACT; service hiện mock550ms. Có fixture1..5 products nhập tay; không gửi email/thông điệp ra người thật.</x:v>
      </x:c>
      <x:c r="I5" s="3" t="str">
        <x:v>type=quote/general/invalid/thiếu</x:v>
      </x:c>
      <x:c r="J5" s="3" t="str">
        <x:v>1. Mở từng URL.</x:v>
      </x:c>
      <x:c r="K5" s="3" t="str">
        <x:v>Chỉ type=quote mở báo giá; còn lại general; general có subject, quote có products table và contact information.</x:v>
      </x:c>
      <x:c r="L5" s="3" t="str">
        <x:v>src/features/contact/components/contact-form.tsx:23
src/app/[locale]/(marketing)/contact-us/page.tsx:12</x:v>
      </x:c>
      <x:c r="M5" s="3" t="str">
        <x:v>Đề xuất Integration | Test liên quan, chưa xác nhận phủ ca: src/features/contact/components/contact-form.test.tsx</x:v>
      </x:c>
      <x:c r="N5" s="10" t="str">
        <x:v>Not run</x:v>
      </x:c>
      <x:c r="O5" s="10" t="str">
        <x:v>Chưa thực thi đầy đủ các bước/expected của ca. Các test liên quan đã chạy, nhưng chưa có assertion đủ để gán Pass.</x:v>
      </x:c>
      <x:c r="P5" s="10" t="str">
        <x:v>execution/results.json → CON-001
execution/assertions.json</x:v>
      </x:c>
      <x:c r="Q5" s="10" t="str"/>
      <x:c r="R5" s="11"/>
    </x:row>
    <x:row r="6" ht="94" customHeight="1">
      <x:c r="A6" s="3" t="str">
        <x:v>CON-002</x:v>
      </x:c>
      <x:c r="B6" s="3" t="str">
        <x:v>Chuyển loại và giữ dữ liệu hợp lệ</x:v>
      </x:c>
      <x:c r="C6" s="3" t="str">
        <x:v>P1</x:v>
      </x:c>
      <x:c r="D6" s="3" t="str">
        <x:v>CON.TYPE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Guest hoặc A; DS-CONTACT; service hiện mock550ms. Có fixture1..5 products nhập tay; không gửi email/thông điệp ra người thật.</x:v>
      </x:c>
      <x:c r="I6" s="3" t="str">
        <x:v>Đã nhập contact, từng có error/success</x:v>
      </x:c>
      <x:c r="J6" s="3" t="str">
        <x:v>1. Đổi general-&gt;quote-&gt;general.
2. So dữ liệu và alert.</x:v>
      </x:c>
      <x:c r="K6" s="3" t="str">
        <x:v>Giữ dữ liệu nhập theo form; xóa errors/mutation cũ khi đổi type; validation quote không chặn general vì product row rỗng.</x:v>
      </x:c>
      <x:c r="L6" s="3" t="str">
        <x:v>src/features/contact/components/contact-form.tsx:23
src/app/[locale]/(marketing)/contact-us/page.tsx:12</x:v>
      </x:c>
      <x:c r="M6" s="3" t="str">
        <x:v>Đề xuất Integration | Test liên quan, chưa xác nhận phủ ca: src/features/contact/components/contact-form.test.tsx</x:v>
      </x:c>
      <x:c r="N6" s="10" t="str">
        <x:v>Not run</x:v>
      </x:c>
      <x:c r="O6" s="10" t="str">
        <x:v>MỘT PHẦN: Đã kiểm tra chuyển loại/row, required fields và một số biên; chưa phủ đầy đủ giữ dữ liệu/5 rows/tất cả optional field.</x:v>
      </x:c>
      <x:c r="P6" s="10" t="str">
        <x:v>execution/results.json → CON-002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CON-003</x:v>
      </x:c>
      <x:c r="B7" s="3" t="str">
        <x:v>Gửi inquiry frontend</x:v>
      </x:c>
      <x:c r="C7" s="3" t="str">
        <x:v>P1</x:v>
      </x:c>
      <x:c r="D7" s="3" t="str">
        <x:v>CON.GENERAL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Guest hoặc A; DS-CONTACT; service hiện mock550ms. Có fixture1..5 products nhập tay; không gửi email/thông điệp ra người thật.</x:v>
      </x:c>
      <x:c r="I7" s="3" t="str">
        <x:v>DS-CONTACT.GENERAL</x:v>
      </x:c>
      <x:c r="J7" s="3" t="str">
        <x:v>1. Nhập các field bắt buộc.
2. Submit và resolve service.</x:v>
      </x:c>
      <x:c r="K7" s="3" t="str">
        <x:v>Một mutation contact + UUID; success MSG-reference hiển thị; reset fields giữ inquiryType; không tuyên bố đã gửi email thật.</x:v>
      </x:c>
      <x:c r="L7" s="3" t="str">
        <x:v>src/features/contact/components/contact-form.tsx:23
src/features/contact/api/contact.service.ts:10</x:v>
      </x:c>
      <x:c r="M7" s="3" t="str">
        <x:v>Đề xuất Integration | Test liên quan, chưa xác nhận phủ ca: src/features/contact/components/contact-form.test.tsx</x:v>
      </x:c>
      <x:c r="N7" s="10" t="str">
        <x:v>Pass</x:v>
      </x:c>
      <x:c r="O7" s="10" t="str">
        <x:v>General inquiry chỉ submit một lần khi pending và công bố reference bằng role=status.</x:v>
      </x:c>
      <x:c r="P7" s="10" t="str">
        <x:v>execution/results.json → CON-003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CON-004</x:v>
      </x:c>
      <x:c r="B8" s="3" t="str">
        <x:v>Subject/message/company có thể rỗng</x:v>
      </x:c>
      <x:c r="C8" s="3" t="str">
        <x:v>P2</x:v>
      </x:c>
      <x:c r="D8" s="3" t="str">
        <x:v>CON.GENERAL</x:v>
      </x:c>
      <x:c r="E8" s="3" t="str">
        <x:v>Functional</x:v>
      </x:c>
      <x:c r="F8" s="3" t="str">
        <x:v>Unit + Integration</x:v>
      </x:c>
      <x:c r="G8" s="3" t="str">
        <x:v>Source</x:v>
      </x:c>
      <x:c r="H8" s="3" t="str">
        <x:v>Guest hoặc A; DS-CONTACT; service hiện mock550ms. Có fixture1..5 products nhập tay; không gửi email/thông điệp ra người thật.</x:v>
      </x:c>
      <x:c r="I8" s="3" t="str">
        <x:v>Các field required hợp lệ; optional=""</x:v>
      </x:c>
      <x:c r="J8" s="3" t="str">
        <x:v>1. Submit general.</x:v>
      </x:c>
      <x:c r="K8" s="3" t="str">
        <x:v>Schema hiện chấp nhận optional rỗng; không tự gắn required ngoài contract.</x:v>
      </x:c>
      <x:c r="L8" s="3" t="str">
        <x:v>src/features/contact/components/contact-form.tsx:23
src/features/contact/api/contact.service.ts:10</x:v>
      </x:c>
      <x:c r="M8" s="3" t="str">
        <x:v>Đề xuất Unit + Integration | Test liên quan, chưa xác nhận phủ ca: src/features/contact/components/contact-form.test.tsx</x:v>
      </x:c>
      <x:c r="N8" s="10" t="str">
        <x:v>Not run</x:v>
      </x:c>
      <x:c r="O8" s="10" t="str">
        <x:v>MỘT PHẦN: Đã kiểm tra chuyển loại/row, required fields và một số biên; chưa phủ đầy đủ giữ dữ liệu/5 rows/tất cả optional field.</x:v>
      </x:c>
      <x:c r="P8" s="10" t="str">
        <x:v>execution/results.json → CON-004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CON-005</x:v>
      </x:c>
      <x:c r="B9" s="3" t="str">
        <x:v>fullName: 1 ký tự</x:v>
      </x:c>
      <x:c r="C9" s="3" t="str">
        <x:v>P1</x:v>
      </x:c>
      <x:c r="D9" s="3" t="str">
        <x:v>CON.VALIDATE</x:v>
      </x:c>
      <x:c r="E9" s="3" t="str">
        <x:v>Boundary</x:v>
      </x:c>
      <x:c r="F9" s="3" t="str">
        <x:v>Unit + Integration</x:v>
      </x:c>
      <x:c r="G9" s="3" t="str">
        <x:v>Source</x:v>
      </x:c>
      <x:c r="H9" s="3" t="str">
        <x:v>Guest hoặc A; DS-CONTACT; service hiện mock550ms. Có fixture1..5 products nhập tay; không gửi email/thông điệp ra người thật.</x:v>
      </x:c>
      <x:c r="I9" s="3" t="str">
        <x:v>DS-CONTACT.GENERAL; fullName="A"</x:v>
      </x:c>
      <x:c r="J9" s="3" t="str">
        <x:v>1. Khôi phục bộ dữ liệu hợp lệ.
2. Chỉ thay fullName bằng giá trị nêu trong dữ liệu.
3. Submit và quan sát lỗi cùng lời gọi service.</x:v>
      </x:c>
      <x:c r="K9" s="3" t="str">
        <x:v>Báo lỗi tại fullName; không gửi mutation khi giá trị chưa hợp lệ.</x:v>
      </x:c>
      <x:c r="L9" s="3" t="str">
        <x:v>src/features/contact/schemas/contact.schema.ts:3</x:v>
      </x:c>
      <x:c r="M9" s="3" t="str">
        <x:v>Đề xuất Unit + Integration | Chưa có test đồng vị trí cho hành vi này</x:v>
      </x:c>
      <x:c r="N9" s="10" t="str">
        <x:v>Pass</x:v>
      </x:c>
      <x:c r="O9" s="10" t="str">
        <x:v>Assertion gắn ID đã pass qua UI/service boundary hoặc rule tương ứng; xem tên assertion trong assertions.json.</x:v>
      </x:c>
      <x:c r="P9" s="10" t="str">
        <x:v>execution/results.json → CON-005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CON-006</x:v>
      </x:c>
      <x:c r="B10" s="3" t="str">
        <x:v>fullName: 2 ký tự</x:v>
      </x:c>
      <x:c r="C10" s="3" t="str">
        <x:v>P1</x:v>
      </x:c>
      <x:c r="D10" s="3" t="str">
        <x:v>CON.VALIDATE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Guest hoặc A; DS-CONTACT; service hiện mock550ms. Có fixture1..5 products nhập tay; không gửi email/thông điệp ra người thật.</x:v>
      </x:c>
      <x:c r="I10" s="3" t="str">
        <x:v>DS-CONTACT.GENERAL; fullName="AA"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Cho phép ngưỡng hợp lệ sau trim; không truncation âm thầm.</x:v>
      </x:c>
      <x:c r="L10" s="3" t="str">
        <x:v>src/features/contact/schemas/contact.schema.ts:3</x:v>
      </x:c>
      <x:c r="M10" s="3" t="str">
        <x:v>Đề xuất Unit + Integration | Chưa có test đồng vị trí cho hành vi này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CON-006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CON-007</x:v>
      </x:c>
      <x:c r="B11" s="3" t="str">
        <x:v>company: 120 ký tự</x:v>
      </x:c>
      <x:c r="C11" s="3" t="str">
        <x:v>P1</x:v>
      </x:c>
      <x:c r="D11" s="3" t="str">
        <x:v>CON.VALIDATE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Guest hoặc A; DS-CONTACT; service hiện mock550ms. Có fixture1..5 products nhập tay; không gửi email/thông điệp ra người thật.</x:v>
      </x:c>
      <x:c r="I11" s="3" t="str">
        <x:v>DS-CONTACT.GENERAL; company="AAAAAAAAAAAAAAAAAAAAAAAAAAAAAAAAAAAAAAAAAAAAAAAAAAAAAAAAAAAAAAAAAAAAAAAAAAAAAAAAAAAAAAAAAAAAAAAAAAAAAAAAAAAAAAAAAAAAAAAA"</x:v>
      </x:c>
      <x:c r="J11" s="3" t="str">
        <x:v>1. Khôi phục bộ dữ liệu hợp lệ.
2. Chỉ thay company bằng giá trị nêu trong dữ liệu.
3. Submit và quan sát lỗi cùng lời gọi service.</x:v>
      </x:c>
      <x:c r="K11" s="3" t="str">
        <x:v>Cho phép ngưỡng hợp lệ sau trim; không truncation âm thầm.</x:v>
      </x:c>
      <x:c r="L11" s="3" t="str">
        <x:v>src/features/contact/schemas/contact.schema.ts:3</x:v>
      </x:c>
      <x:c r="M11" s="3" t="str">
        <x:v>Đề xuất Unit + Integration | Chưa có test đồng vị trí cho hành vi này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execution/results.json → CON-007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CON-008</x:v>
      </x:c>
      <x:c r="B12" s="3" t="str">
        <x:v>company: 121 ký tự</x:v>
      </x:c>
      <x:c r="C12" s="3" t="str">
        <x:v>P1</x:v>
      </x:c>
      <x:c r="D12" s="3" t="str">
        <x:v>CON.VALIDATE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Guest hoặc A; DS-CONTACT; service hiện mock550ms. Có fixture1..5 products nhập tay; không gửi email/thông điệp ra người thật.</x:v>
      </x:c>
      <x:c r="I12" s="3" t="str">
        <x:v>DS-CONTACT.GENERAL; company="AAAAAAAAAAAAAAAAAAAAAAAAAAAAAAAAAAAAAAAAAAAAAAAAAAAAAAAAAAAAAAAAAAAAAAAAAAAAAAAAAAAAAAAAAAAAAAAAAAAAAAAAAAAAAAAAAAAAAAAAA"</x:v>
      </x:c>
      <x:c r="J12" s="3" t="str">
        <x:v>1. Khôi phục bộ dữ liệu hợp lệ.
2. Chỉ thay company bằng giá trị nêu trong dữ liệu.
3. Submit và quan sát lỗi cùng lời gọi service.</x:v>
      </x:c>
      <x:c r="K12" s="3" t="str">
        <x:v>Báo lỗi tại company; không gửi mutation khi giá trị chưa hợp lệ.</x:v>
      </x:c>
      <x:c r="L12" s="3" t="str">
        <x:v>src/features/contact/schemas/contact.schema.ts:3</x:v>
      </x:c>
      <x:c r="M12" s="3" t="str">
        <x:v>Đề xuất Unit + Integration | Chưa có test đồng vị trí cho hành vi này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execution/results.json → CON-008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CON-009</x:v>
      </x:c>
      <x:c r="B13" s="3" t="str">
        <x:v>subject: 160 ký tự</x:v>
      </x:c>
      <x:c r="C13" s="3" t="str">
        <x:v>P1</x:v>
      </x:c>
      <x:c r="D13" s="3" t="str">
        <x:v>CON.VALIDATE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Guest hoặc A; DS-CONTACT; service hiện mock550ms. Có fixture1..5 products nhập tay; không gửi email/thông điệp ra người thật.</x:v>
      </x:c>
      <x:c r="I13" s="3" t="str">
        <x:v>DS-CONTACT.GENERAL; subject=repeat("A", 160) — đúng 160 ký tự</x:v>
      </x:c>
      <x:c r="J13" s="3" t="str">
        <x:v>1. Khôi phục bộ dữ liệu hợp lệ.
2. Chỉ thay subject bằng giá trị nêu trong dữ liệu.
3. Submit và quan sát lỗi cùng lời gọi service.</x:v>
      </x:c>
      <x:c r="K13" s="3" t="str">
        <x:v>Cho phép ngưỡng hợp lệ sau trim; không truncation âm thầm.</x:v>
      </x:c>
      <x:c r="L13" s="3" t="str">
        <x:v>src/features/contact/schemas/contact.schema.ts:3</x:v>
      </x:c>
      <x:c r="M13" s="3" t="str">
        <x:v>Đề xuất Unit + Integration | Chưa có test đồng vị trí cho hành vi này</x:v>
      </x:c>
      <x:c r="N13" s="10" t="str">
        <x:v>Pass</x:v>
      </x:c>
      <x:c r="O13" s="10" t="str">
        <x:v>Assertion gắn ID đã pass qua UI/service boundary hoặc rule tương ứng; xem tên assertion trong assertions.json.</x:v>
      </x:c>
      <x:c r="P13" s="10" t="str">
        <x:v>execution/results.json → CON-009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CON-010</x:v>
      </x:c>
      <x:c r="B14" s="3" t="str">
        <x:v>subject: 161 ký tự</x:v>
      </x:c>
      <x:c r="C14" s="3" t="str">
        <x:v>P1</x:v>
      </x:c>
      <x:c r="D14" s="3" t="str">
        <x:v>CON.VALIDATE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Guest hoặc A; DS-CONTACT; service hiện mock550ms. Có fixture1..5 products nhập tay; không gửi email/thông điệp ra người thật.</x:v>
      </x:c>
      <x:c r="I14" s="3" t="str">
        <x:v>DS-CONTACT.GENERAL; subject=repeat("A", 161) — đúng 161 ký tự</x:v>
      </x:c>
      <x:c r="J14" s="3" t="str">
        <x:v>1. Khôi phục bộ dữ liệu hợp lệ.
2. Chỉ thay subject bằng giá trị nêu trong dữ liệu.
3. Submit và quan sát lỗi cùng lời gọi service.</x:v>
      </x:c>
      <x:c r="K14" s="3" t="str">
        <x:v>Báo lỗi tại subject; không gửi mutation khi giá trị chưa hợp lệ.</x:v>
      </x:c>
      <x:c r="L14" s="3" t="str">
        <x:v>src/features/contact/schemas/contact.schema.ts:3</x:v>
      </x:c>
      <x:c r="M14" s="3" t="str">
        <x:v>Đề xuất Unit + Integration | Chưa có test đồng vị trí cho hành vi này</x:v>
      </x:c>
      <x:c r="N14" s="10" t="str">
        <x:v>Pass</x:v>
      </x:c>
      <x:c r="O14" s="10" t="str">
        <x:v>Assertion gắn ID đã pass qua UI/service boundary hoặc rule tương ứng; xem tên assertion trong assertions.json.</x:v>
      </x:c>
      <x:c r="P14" s="10" t="str">
        <x:v>execution/results.json → CON-010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CON-011</x:v>
      </x:c>
      <x:c r="B15" s="3" t="str">
        <x:v>message: 2000 ký tự</x:v>
      </x:c>
      <x:c r="C15" s="3" t="str">
        <x:v>P1</x:v>
      </x:c>
      <x:c r="D15" s="3" t="str">
        <x:v>CON.VALIDATE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Guest hoặc A; DS-CONTACT; service hiện mock550ms. Có fixture1..5 products nhập tay; không gửi email/thông điệp ra người thật.</x:v>
      </x:c>
      <x:c r="I15" s="3" t="str">
        <x:v>DS-CONTACT.GENERAL; message=repeat("A", 2000) — đúng 2000 ký tự</x:v>
      </x:c>
      <x:c r="J15" s="3" t="str">
        <x:v>1. Khôi phục bộ dữ liệu hợp lệ.
2. Chỉ thay message bằng giá trị nêu trong dữ liệu.
3. Submit và quan sát lỗi cùng lời gọi service.</x:v>
      </x:c>
      <x:c r="K15" s="3" t="str">
        <x:v>Cho phép ngưỡng hợp lệ sau trim; không truncation âm thầm.</x:v>
      </x:c>
      <x:c r="L15" s="3" t="str">
        <x:v>src/features/contact/schemas/contact.schema.ts:3</x:v>
      </x:c>
      <x:c r="M15" s="3" t="str">
        <x:v>Đề xuất Unit + Integration | Chưa có test đồng vị trí cho hành vi này</x:v>
      </x:c>
      <x:c r="N15" s="10" t="str">
        <x:v>Pass</x:v>
      </x:c>
      <x:c r="O15" s="10" t="str">
        <x:v>Assertion gắn ID đã pass qua UI/service boundary hoặc rule tương ứng; xem tên assertion trong assertions.json.</x:v>
      </x:c>
      <x:c r="P15" s="10" t="str">
        <x:v>execution/results.json → CON-011
execution/assertions.json</x:v>
      </x:c>
      <x:c r="Q15" s="10" t="str">
        <x:v>Codex — local automated QA</x:v>
      </x:c>
      <x:c r="R15" s="11" t="d">
        <x:v>2026-10-18T05:30:31.999Z</x:v>
      </x:c>
    </x:row>
    <x:row r="16" ht="94" customHeight="1">
      <x:c r="A16" s="3" t="str">
        <x:v>CON-012</x:v>
      </x:c>
      <x:c r="B16" s="3" t="str">
        <x:v>message: 2001 ký tự</x:v>
      </x:c>
      <x:c r="C16" s="3" t="str">
        <x:v>P1</x:v>
      </x:c>
      <x:c r="D16" s="3" t="str">
        <x:v>CON.VALIDATE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Guest hoặc A; DS-CONTACT; service hiện mock550ms. Có fixture1..5 products nhập tay; không gửi email/thông điệp ra người thật.</x:v>
      </x:c>
      <x:c r="I16" s="3" t="str">
        <x:v>DS-CONTACT.GENERAL; message=repeat("A", 2001) — đúng 2001 ký tự</x:v>
      </x:c>
      <x:c r="J16" s="3" t="str">
        <x:v>1. Khôi phục bộ dữ liệu hợp lệ.
2. Chỉ thay message bằng giá trị nêu trong dữ liệu.
3. Submit và quan sát lỗi cùng lời gọi service.</x:v>
      </x:c>
      <x:c r="K16" s="3" t="str">
        <x:v>Báo lỗi tại message; không gửi mutation khi giá trị chưa hợp lệ.</x:v>
      </x:c>
      <x:c r="L16" s="3" t="str">
        <x:v>src/features/contact/schemas/contact.schema.ts:3</x:v>
      </x:c>
      <x:c r="M16" s="3" t="str">
        <x:v>Đề xuất Unit + Integration | Chưa có test đồng vị trí cho hành vi này</x:v>
      </x:c>
      <x:c r="N16" s="10" t="str">
        <x:v>Pass</x:v>
      </x:c>
      <x:c r="O16" s="10" t="str">
        <x:v>Assertion gắn ID đã pass qua UI/service boundary hoặc rule tương ứng; xem tên assertion trong assertions.json.</x:v>
      </x:c>
      <x:c r="P16" s="10" t="str">
        <x:v>execution/results.json → CON-012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CON-013</x:v>
      </x:c>
      <x:c r="B17" s="3" t="str">
        <x:v>Email, phone và calling code</x:v>
      </x:c>
      <x:c r="C17" s="3" t="str">
        <x:v>P1</x:v>
      </x:c>
      <x:c r="D17" s="3" t="str">
        <x:v>CON.VALIDATE</x:v>
      </x:c>
      <x:c r="E17" s="3" t="str">
        <x:v>Boundary</x:v>
      </x:c>
      <x:c r="F17" s="3" t="str">
        <x:v>Integration</x:v>
      </x:c>
      <x:c r="G17" s="3" t="str">
        <x:v>Source</x:v>
      </x:c>
      <x:c r="H17" s="3" t="str">
        <x:v>Guest hoặc A; DS-CONTACT; service hiện mock550ms. Có fixture1..5 products nhập tay; không gửi email/thông điệp ra người thật.</x:v>
      </x:c>
      <x:c r="I17" s="3" t="str">
        <x:v>email sai; phone&lt;7/&gt;19/âm; dialDigits65,60,84</x:v>
      </x:c>
      <x:c r="J17" s="3" t="str">
        <x:v>1. Đổi từng field.
2. Submit.</x:v>
      </x:c>
      <x:c r="K17" s="3" t="str">
        <x:v>Email đúng format; phone national bắt đầu digit, chỉ digit/space/hyphen theo regex; code trong UI là SG/MY/VN với value digits; báo lỗi readable.</x:v>
      </x:c>
      <x:c r="L17" s="3" t="str">
        <x:v>src/features/contact/components/contact-info-fields.tsx:27
src/features/contact/schemas/contact.schema.ts:3</x:v>
      </x:c>
      <x:c r="M17" s="3" t="str">
        <x:v>Đề xuất Integration | Chưa có test đồng vị trí cho hành vi này</x:v>
      </x:c>
      <x:c r="N17" s="10" t="str">
        <x:v>Not run</x:v>
      </x:c>
      <x:c r="O17" s="10" t="str">
        <x:v>Chưa thực thi đầy đủ các bước/expected của ca. Chưa có automation hoặc bằng chứng chạy ca tương ứng.</x:v>
      </x:c>
      <x:c r="P17" s="10" t="str">
        <x:v>execution/results.json → CON-013
execution/assertions.json</x:v>
      </x:c>
      <x:c r="Q17" s="10" t="str"/>
      <x:c r="R17" s="11"/>
    </x:row>
    <x:row r="18" ht="94" customHeight="1">
      <x:c r="A18" s="3" t="str">
        <x:v>CON-014</x:v>
      </x:c>
      <x:c r="B18" s="3" t="str">
        <x:v>Một và năm sản phẩm</x:v>
      </x:c>
      <x:c r="C18" s="3" t="str">
        <x:v>P1</x:v>
      </x:c>
      <x:c r="D18" s="3" t="str">
        <x:v>CON.QUOTE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Guest hoặc A; DS-CONTACT; service hiện mock550ms. Có fixture1..5 products nhập tay; không gửi email/thông điệp ra người thật.</x:v>
      </x:c>
      <x:c r="I18" s="3" t="str">
        <x:v>DS-CONTACT.QUOTE; brands Medisafe/BIO-RAD/Sartorius/Heidolph</x:v>
      </x:c>
      <x:c r="J18" s="3" t="str">
        <x:v>1. Điền1 product.
2. Thêm tới5 và gửi.</x:v>
      </x:c>
      <x:c r="K18" s="3" t="str">
        <x:v>Mỗi row có productName&gt;=2, brand, quantity integer dương; tối đa5; nút Add disabled ở5; budget optional&lt;=80.</x:v>
      </x:c>
      <x:c r="L18" s="3" t="str">
        <x:v>src/features/contact/components/quote-products-table.tsx:19
src/features/contact/schemas/contact.schema.ts:3</x:v>
      </x:c>
      <x:c r="M18" s="3" t="str">
        <x:v>Đề xuất Integration | Chưa có test đồng vị trí cho hành vi này</x:v>
      </x:c>
      <x:c r="N18" s="10" t="str">
        <x:v>Not run</x:v>
      </x:c>
      <x:c r="O18" s="10" t="str">
        <x:v>MỘT PHẦN: Đã kiểm tra chuyển loại/row, required fields và một số biên; chưa phủ đầy đủ giữ dữ liệu/5 rows/tất cả optional field.</x:v>
      </x:c>
      <x:c r="P18" s="10" t="str">
        <x:v>execution/results.json → CON-014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CON-015</x:v>
      </x:c>
      <x:c r="B19" s="3" t="str">
        <x:v>Xóa hết sản phẩm</x:v>
      </x:c>
      <x:c r="C19" s="3" t="str">
        <x:v>P1</x:v>
      </x:c>
      <x:c r="D19" s="3" t="str">
        <x:v>CON.QUOTE</x:v>
      </x:c>
      <x:c r="E19" s="3" t="str">
        <x:v>Negative</x:v>
      </x:c>
      <x:c r="F19" s="3" t="str">
        <x:v>Integration</x:v>
      </x:c>
      <x:c r="G19" s="3" t="str">
        <x:v>Source</x:v>
      </x:c>
      <x:c r="H19" s="3" t="str">
        <x:v>Guest hoặc A; DS-CONTACT; service hiện mock550ms. Có fixture1..5 products nhập tay; không gửi email/thông điệp ra người thật.</x:v>
      </x:c>
      <x:c r="I19" s="3" t="str">
        <x:v>Quote có1 row</x:v>
      </x:c>
      <x:c r="J19" s="3" t="str">
        <x:v>1. Remove row cuối.
2. Submit.</x:v>
      </x:c>
      <x:c r="K19" s="3" t="str">
        <x:v>Không gửi mutation; có lỗi Add at least one product hiển thị tại phần products.
Dependency / lưu ý: Schema error ở products, UI đọc products.root.message; kiểm tra render thực tế.</x:v>
      </x:c>
      <x:c r="L19" s="3" t="str">
        <x:v>src/features/contact/components/quote-products-table.tsx:19
src/features/contact/schemas/contact.schema.ts:3</x:v>
      </x:c>
      <x:c r="M19" s="3" t="str">
        <x:v>Đề xuất Integration | Chưa có test đồng vị trí cho hành vi này</x:v>
      </x:c>
      <x:c r="N19" s="10" t="str">
        <x:v>Pass</x:v>
      </x:c>
      <x:c r="O19" s="10" t="str">
        <x:v>Assertion gắn ID đã pass qua UI/service boundary hoặc rule tương ứng; xem tên assertion trong assertions.json.</x:v>
      </x:c>
      <x:c r="P19" s="10" t="str">
        <x:v>execution/results.json → CON-015
execution/assertions.json</x:v>
      </x:c>
      <x:c r="Q19" s="10" t="str">
        <x:v>Codex — local automated QA</x:v>
      </x:c>
      <x:c r="R19" s="11" t="d">
        <x:v>2026-10-18T05:30:31.999Z</x:v>
      </x:c>
    </x:row>
    <x:row r="20" ht="94" customHeight="1">
      <x:c r="A20" s="3" t="str">
        <x:v>CON-016</x:v>
      </x:c>
      <x:c r="B20" s="3" t="str">
        <x:v>Biên dữ liệu từng row</x:v>
      </x:c>
      <x:c r="C20" s="3" t="str">
        <x:v>P1</x:v>
      </x:c>
      <x:c r="D20" s="3" t="str">
        <x:v>CON.QUOTE</x:v>
      </x:c>
      <x:c r="E20" s="3" t="str">
        <x:v>Boundary</x:v>
      </x:c>
      <x:c r="F20" s="3" t="str">
        <x:v>Integration</x:v>
      </x:c>
      <x:c r="G20" s="3" t="str">
        <x:v>Source</x:v>
      </x:c>
      <x:c r="H20" s="3" t="str">
        <x:v>Guest hoặc A; DS-CONTACT; service hiện mock550ms. Có fixture1..5 products nhập tay; không gửi email/thông điệp ra người thật.</x:v>
      </x:c>
      <x:c r="I20" s="3" t="str">
        <x:v>productName1/2; brand rỗng; quantity0,-1,1.5,1; budget80/81</x:v>
      </x:c>
      <x:c r="J20" s="3" t="str">
        <x:v>1. Đổi một field của một row.
2. Submit.</x:v>
      </x:c>
      <x:c r="K20" s="3" t="str">
        <x:v>Chỉ row và field sai có lỗi; quantity dạng chuỗi integer&gt;=1; không để lỗi row bị mất sau xóa/thêm.</x:v>
      </x:c>
      <x:c r="L20" s="3" t="str">
        <x:v>src/features/contact/components/quote-products-table.tsx:19
src/features/contact/schemas/contact.schema.ts:3</x:v>
      </x:c>
      <x:c r="M20" s="3" t="str">
        <x:v>Đề xuất Integration | Chưa có test đồng vị trí cho hành vi này</x:v>
      </x:c>
      <x:c r="N20" s="10" t="str">
        <x:v>Not run</x:v>
      </x:c>
      <x:c r="O20" s="10" t="str">
        <x:v>Chưa thực thi đầy đủ các bước/expected của ca. Chưa có automation hoặc bằng chứng chạy ca tương ứng.</x:v>
      </x:c>
      <x:c r="P20" s="10" t="str">
        <x:v>execution/results.json → CON-016
execution/assertions.json</x:v>
      </x:c>
      <x:c r="Q20" s="10" t="str"/>
      <x:c r="R20" s="11"/>
    </x:row>
    <x:row r="21" ht="94" customHeight="1">
      <x:c r="A21" s="3" t="str">
        <x:v>CON-017</x:v>
      </x:c>
      <x:c r="B21" s="3" t="str">
        <x:v>Add vượt5 qua service boundary</x:v>
      </x:c>
      <x:c r="C21" s="3" t="str">
        <x:v>P1</x:v>
      </x:c>
      <x:c r="D21" s="3" t="str">
        <x:v>CON.QUOTE</x:v>
      </x:c>
      <x:c r="E21" s="3" t="str">
        <x:v>Boundary</x:v>
      </x:c>
      <x:c r="F21" s="3" t="str">
        <x:v>Unit</x:v>
      </x:c>
      <x:c r="G21" s="3" t="str">
        <x:v>Source</x:v>
      </x:c>
      <x:c r="H21" s="3" t="str">
        <x:v>Guest hoặc A; DS-CONTACT; service hiện mock550ms. Có fixture1..5 products nhập tay; không gửi email/thông điệp ra người thật.</x:v>
      </x:c>
      <x:c r="I21" s="3" t="str">
        <x:v>products array6 items</x:v>
      </x:c>
      <x:c r="J21" s="3" t="str">
        <x:v>1. Parse payload trực tiếp.</x:v>
      </x:c>
      <x:c r="K21" s="3" t="str">
        <x:v>Reject ở schema dù UI đã chặn Add; không gọi submit.</x:v>
      </x:c>
      <x:c r="L21" s="3" t="str">
        <x:v>src/features/contact/components/quote-products-table.tsx:19
src/features/contact/schemas/contact.schema.ts:3</x:v>
      </x:c>
      <x:c r="M21" s="3" t="str">
        <x:v>Đề xuất Unit | Chưa có test đồng vị trí cho hành vi này</x:v>
      </x:c>
      <x:c r="N21" s="10" t="str">
        <x:v>Not run</x:v>
      </x:c>
      <x:c r="O21" s="10" t="str">
        <x:v>Chưa thực thi đầy đủ các bước/expected của ca. Chưa có automation hoặc bằng chứng chạy ca tương ứng.</x:v>
      </x:c>
      <x:c r="P21" s="10" t="str">
        <x:v>execution/results.json → CON-017
execution/assertions.json</x:v>
      </x:c>
      <x:c r="Q21" s="10" t="str"/>
      <x:c r="R21" s="11"/>
    </x:row>
    <x:row r="22" ht="94" customHeight="1">
      <x:c r="A22" s="3" t="str">
        <x:v>CON-018</x:v>
      </x:c>
      <x:c r="B22" s="3" t="str">
        <x:v>Confirm, clear và remove row</x:v>
      </x:c>
      <x:c r="C22" s="3" t="str">
        <x:v>P1</x:v>
      </x:c>
      <x:c r="D22" s="3" t="str">
        <x:v>CON.QUOTE</x:v>
      </x:c>
      <x:c r="E22" s="3" t="str">
        <x:v>Regression</x:v>
      </x:c>
      <x:c r="F22" s="3" t="str">
        <x:v>Integration</x:v>
      </x:c>
      <x:c r="G22" s="3" t="str">
        <x:v>Source</x:v>
      </x:c>
      <x:c r="H22" s="3" t="str">
        <x:v>Guest hoặc A; DS-CONTACT; service hiện mock550ms. Có fixture1..5 products nhập tay; không gửi email/thông điệp ra người thật.</x:v>
      </x:c>
      <x:c r="I22" s="3" t="str">
        <x:v>3 rows đã nhập</x:v>
      </x:c>
      <x:c r="J22" s="3" t="str">
        <x:v>1. Clear tên row2.
2. Confirm tên rỗng.
3. Remove row1 và submit.</x:v>
      </x:c>
      <x:c r="K22" s="3" t="str">
        <x:v>Clear chỉ xóa tên row đúng; Confirm không bỏ validation thực; các field/errors bám đúng row sau remove.</x:v>
      </x:c>
      <x:c r="L22" s="3" t="str">
        <x:v>src/features/contact/components/quote-products-table.tsx:19
src/features/contact/schemas/contact.schema.ts:3</x:v>
      </x:c>
      <x:c r="M22" s="3" t="str">
        <x:v>Đề xuất Integration | Chưa có test đồng vị trí cho hành vi này</x:v>
      </x:c>
      <x:c r="N22" s="10" t="str">
        <x:v>Pass</x:v>
      </x:c>
      <x:c r="O22" s="10" t="str">
        <x:v>Assertion gắn ID đã pass qua UI/service boundary hoặc rule tương ứng; xem tên assertion trong assertions.json.</x:v>
      </x:c>
      <x:c r="P22" s="10" t="str">
        <x:v>FIX-10
execution/results.json → CON-018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CON-019</x:v>
      </x:c>
      <x:c r="B23" s="3" t="str">
        <x:v>Pending/error/retry không mất input</x:v>
      </x:c>
      <x:c r="C23" s="3" t="str">
        <x:v>P1</x:v>
      </x:c>
      <x:c r="D23" s="3" t="str">
        <x:v>CON.SUBMIT</x:v>
      </x:c>
      <x:c r="E23" s="3" t="str">
        <x:v>Concurrency</x:v>
      </x:c>
      <x:c r="F23" s="3" t="str">
        <x:v>Integration</x:v>
      </x:c>
      <x:c r="G23" s="3" t="str">
        <x:v>Source</x:v>
      </x:c>
      <x:c r="H23" s="3" t="str">
        <x:v>Guest hoặc A; DS-CONTACT; service hiện mock550ms. Có fixture1..5 products nhập tay; không gửi email/thông điệp ra người thật.</x:v>
      </x:c>
      <x:c r="I23" s="3" t="str">
        <x:v>Promise pending rồi reject</x:v>
      </x:c>
      <x:c r="J23" s="3" t="str">
        <x:v>1. Double click/Enter submit.
2. Reject service.
3. Retry.</x:v>
      </x:c>
      <x:c r="K23" s="3" t="str">
        <x:v>Một request khi pending; button disabled; error Alert; giữ input để sửa và gửi lại, không auto retry.</x:v>
      </x:c>
      <x:c r="L23" s="3" t="str">
        <x:v>src/features/contact/components/contact-form.tsx:23</x:v>
      </x:c>
      <x:c r="M23" s="3" t="str">
        <x:v>Đề xuất Integration | Test liên quan, chưa xác nhận phủ ca: src/features/contact/components/contact-form.test.tsx</x:v>
      </x:c>
      <x:c r="N23" s="10" t="str">
        <x:v>Not run</x:v>
      </x:c>
      <x:c r="O23" s="10" t="str">
        <x:v>Chưa thực thi đầy đủ các bước/expected của ca. Các test liên quan đã chạy, nhưng chưa có assertion đủ để gán Pass.</x:v>
      </x:c>
      <x:c r="P23" s="10" t="str">
        <x:v>execution/results.json → CON-019
execution/assertions.json</x:v>
      </x:c>
      <x:c r="Q23" s="10" t="str"/>
      <x:c r="R23" s="11"/>
    </x:row>
    <x:row r="24" ht="94" customHeight="1">
      <x:c r="A24" s="3" t="str">
        <x:v>CON-020</x:v>
      </x:c>
      <x:c r="B24" s="3" t="str">
        <x:v>Product query từ PDP</x:v>
      </x:c>
      <x:c r="C24" s="3" t="str">
        <x:v>P1</x:v>
      </x:c>
      <x:c r="D24" s="3" t="str">
        <x:v>CON.PRODUCT</x:v>
      </x:c>
      <x:c r="E24" s="3" t="str">
        <x:v>Functional</x:v>
      </x:c>
      <x:c r="F24" s="3" t="str">
        <x:v>Integration</x:v>
      </x:c>
      <x:c r="G24" s="3" t="str">
        <x:v>Decision required</x:v>
      </x:c>
      <x:c r="H24" s="3" t="str">
        <x:v>Guest hoặc A; DS-CONTACT; service hiện mock550ms. Có fixture1..5 products nhập tay; không gửi email/thông điệp ra người thật.</x:v>
      </x:c>
      <x:c r="I24" s="3" t="str">
        <x:v>?type=quote&amp;product=known-slug</x:v>
      </x:c>
      <x:c r="J24" s="3" t="str">
        <x:v>1. Mở link từ PDP giá ẩn.
2. Kiểm tra product được chuyển vào form.</x:v>
      </x:c>
      <x:c r="K24" s="3" t="str">
        <x:v>Ngữ cảnh product phải được prefill hoặc thể hiện cho người dùng để không nhập lại; quyết định PO nếu cố ý bỏ query.
Dependency / lưu ý: Contact route hiện chỉ đọc type.</x:v>
      </x:c>
      <x:c r="L24" s="3" t="str">
        <x:v>src/app/[locale]/(marketing)/contact-us/page.tsx:12</x:v>
      </x:c>
      <x:c r="M24" s="3" t="str">
        <x:v>Đề xuất Integration | Chưa có test đồng vị trí cho hành vi này</x:v>
      </x:c>
      <x:c r="N24" s="10" t="str">
        <x:v>Blocked</x:v>
      </x:c>
      <x:c r="O24" s="10" t="str">
        <x:v>Expected chưa có quyết định PO/backend hoặc nội dung/contract được phê duyệt. Xem dependency gốc trong test case; không suy diễn Pass từ hành vi hiện tại.</x:v>
      </x:c>
      <x:c r="P24" s="10" t="str">
        <x:v>execution/results.json → CON-020
execution/assertions.json</x:v>
      </x:c>
      <x:c r="Q24" s="10" t="str">
        <x:v>Codex — local automated QA</x:v>
      </x:c>
      <x:c r="R24" s="11"/>
    </x:row>
    <x:row r="25" ht="106" customHeight="1">
      <x:c r="A25" s="3" t="str">
        <x:v>CON-021</x:v>
      </x:c>
      <x:c r="B25" s="3" t="str">
        <x:v>Lưu contact/quote nhập tay thật</x:v>
      </x:c>
      <x:c r="C25" s="3" t="str">
        <x:v>P0</x:v>
      </x:c>
      <x:c r="D25" s="3" t="str">
        <x:v>CON.INTEGRATION</x:v>
      </x:c>
      <x:c r="E25" s="3" t="str">
        <x:v>Functional</x:v>
      </x:c>
      <x:c r="F25" s="3" t="str">
        <x:v>API + E2E</x:v>
      </x:c>
      <x:c r="G25" s="3" t="str">
        <x:v>Integration contract</x:v>
      </x:c>
      <x:c r="H25" s="3" t="str">
        <x:v>Guest hoặc A; DS-CONTACT; service hiện mock550ms. Có fixture1..5 products nhập tay; không gửi email/thông điệp ra người thật.</x:v>
      </x:c>
      <x:c r="I25" s="3" t="str">
        <x:v>Backend cấp endpoint/payload/anti-spam</x:v>
      </x:c>
      <x:c r="J25" s="3" t="str">
        <x:v>1. Gửi cả general và quote ở sandbox.
2. Đối chiếu backend/support inbox được cấp quyền đọc.</x:v>
      </x:c>
      <x:c r="K25" s="3" t="str">
        <x:v>Record/contact đúng, không mất sản phẩm; chỉ báo success sau backend xác nhận. Không gửi thư thật khi chưa có sandbox.
Dependency / lưu ý: BLOCKER: contactService hiện chỉ synthesize MSG/RFQ reference, không HTTP.</x:v>
      </x:c>
      <x:c r="L25" s="3" t="str">
        <x:v>src/features/contact/api/contact.service.ts:10</x:v>
      </x:c>
      <x:c r="M25" s="3" t="str">
        <x:v>Đề xuất API + E2E | Chưa có test đồng vị trí cho hành vi này</x:v>
      </x:c>
      <x:c r="N25" s="10" t="str">
        <x:v>Blocked</x:v>
      </x:c>
      <x:c r="O25" s="10" t="str">
        <x:v>checkout/payment/quote/contact submit trong source vẫn là mock local; thiếu API contract/endpoint và sandbox để chứng minh lưu dữ liệu, xác thực thanh toán, idempotency và email thật.</x:v>
      </x:c>
      <x:c r="P25" s="10" t="str">
        <x:v>execution/results.json → CON-021
execution/assertions.json</x:v>
      </x:c>
      <x:c r="Q25" s="10" t="str">
        <x:v>Codex — local automated QA</x:v>
      </x:c>
      <x:c r="R25" s="11"/>
    </x:row>
    <x:row r="26" ht="94" customHeight="1">
      <x:c r="A26" s="3" t="str">
        <x:v>CON-022</x:v>
      </x:c>
      <x:c r="B26" s="3" t="str">
        <x:v>Untrusted text và spam</x:v>
      </x:c>
      <x:c r="C26" s="3" t="str">
        <x:v>P1</x:v>
      </x:c>
      <x:c r="D26" s="3" t="str">
        <x:v>CON.SECURITY</x:v>
      </x:c>
      <x:c r="E26" s="3" t="str">
        <x:v>Security</x:v>
      </x:c>
      <x:c r="F26" s="3" t="str">
        <x:v>API + Browser</x:v>
      </x:c>
      <x:c r="G26" s="3" t="str">
        <x:v>Security target</x:v>
      </x:c>
      <x:c r="H26" s="3" t="str">
        <x:v>Guest hoặc A; DS-CONTACT; service hiện mock550ms. Có fixture1..5 products nhập tay; không gửi email/thông điệp ra người thật.</x:v>
      </x:c>
      <x:c r="I26" s="3" t="str">
        <x:v>message HTML/script; quantity cực lớn; submit lặp</x:v>
      </x:c>
      <x:c r="J26" s="3" t="str">
        <x:v>1. Render fixture độc hại.
2. Gửi tới backend sandbox với rate limit.</x:v>
      </x:c>
      <x:c r="K26" s="3" t="str">
        <x:v>Không thực thi HTML; backend giới hạn nội dung/quantity/rate phù hợp; lỗi429 không tự spam retry.</x:v>
      </x:c>
      <x:c r="L26" s="3" t="str">
        <x:v>src/features/contact/components/contact-form.tsx:23
src/features/contact/schemas/contact.schema.ts:3</x:v>
      </x:c>
      <x:c r="M26" s="3" t="str">
        <x:v>Đề xuất API + Browser | Test liên quan, chưa xác nhận phủ ca: src/features/contact/components/contact-form.test.tsx</x:v>
      </x:c>
      <x:c r="N26" s="10" t="str">
        <x:v>Blocked</x:v>
      </x:c>
      <x:c r="O26" s="10" t="str">
        <x:v>Cần endpoint và cơ chế chống spam/rate limit phía backend; local submit hiện mock. Chưa thực hiện tải hay probe trên hệ thống thật.</x:v>
      </x:c>
      <x:c r="P26" s="10" t="str">
        <x:v>execution/results.json → CON-022
execution/assertions.json</x:v>
      </x:c>
      <x:c r="Q26" s="10" t="str">
        <x:v>Codex — local automated QA</x:v>
      </x:c>
      <x:c r="R26" s="11"/>
    </x:row>
  </x:sheetData>
  <x:conditionalFormatting sqref="N5:N26">
    <x:cfRule type="containsText" dxfId="33" priority="1" operator="containsText" text="Fail"/>
    <x:cfRule type="containsText" dxfId="34" priority="2" operator="containsText" text="Blocked"/>
  </x:conditionalFormatting>
  <x:conditionalFormatting sqref="C5:C26">
    <x:cfRule type="containsText" dxfId="35" priority="3" operator="containsText" text="P0"/>
  </x:conditionalFormatting>
  <x:dataValidations count="1">
    <x:dataValidation type="list" sqref="N5:N2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ae07d2808f433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CMS — Tin tức, giới thiệu và tài liệu pháp lý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CMS-001</x:v>
      </x:c>
      <x:c r="B5" s="3" t="str">
        <x:v>Featured và latest không trùng</x:v>
      </x:c>
      <x:c r="C5" s="3" t="str">
        <x:v>P2</x:v>
      </x:c>
      <x:c r="D5" s="3" t="str">
        <x:v>CMS.NEWS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Data local hiện có; fixture bổ sung DS-NEWS khi kiểm tra các nhánh; không cần backend CMS vì source hiện chưa tích hợp CMS API.</x:v>
      </x:c>
      <x:c r="I5" s="3" t="str">
        <x:v>7 bài local; bài đầu featured</x:v>
      </x:c>
      <x:c r="J5" s="3" t="str">
        <x:v>1. Mở /news.
2. So featured/feed.</x:v>
      </x:c>
      <x:c r="K5" s="3" t="str">
        <x:v>Featured là bài đầu, không lặp lại trong feed; feed còn6, pageSize4; không mặc định featured thay đổi theo sort feed.</x:v>
      </x:c>
      <x:c r="L5" s="3" t="str">
        <x:v>src/features/news/components/news-feed.tsx:20
src/features/news/components/news-list-screen.tsx:7
src/features/news/data/news-data.ts:110</x:v>
      </x:c>
      <x:c r="M5" s="3" t="str">
        <x:v>Đề xuất Integration | Test liên quan, chưa xác nhận phủ ca: src/features/news/components/news-feed.test.tsx, src/features/news/data/news-data.test.ts</x:v>
      </x:c>
      <x:c r="N5" s="10" t="str">
        <x:v>Not run</x:v>
      </x:c>
      <x:c r="O5" s="10" t="str">
        <x:v>MỘT PHẦN: Đã kiểm tra category filter và dữ liệu bài viết; chưa đủ pagination/sort/reset/featured combinations.</x:v>
      </x:c>
      <x:c r="P5" s="10" t="str">
        <x:v>execution/results.json → CMS-001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CMS-002</x:v>
      </x:c>
      <x:c r="B6" s="3" t="str">
        <x:v>Lọc đủ category và empty</x:v>
      </x:c>
      <x:c r="C6" s="3" t="str">
        <x:v>P2</x:v>
      </x:c>
      <x:c r="D6" s="3" t="str">
        <x:v>CMS.NEWS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Data local hiện có; fixture bổ sung DS-NEWS khi kiểm tra các nhánh; không cần backend CMS vì source hiện chưa tích hợp CMS API.</x:v>
      </x:c>
      <x:c r="I6" s="3" t="str">
        <x:v>All, News, Events, Company updates, Features; fixture không có category match</x:v>
      </x:c>
      <x:c r="J6" s="3" t="str">
        <x:v>1. Click từng category.
2. So card và aria-pressed.</x:v>
      </x:c>
      <x:c r="K6" s="3" t="str">
        <x:v>Chỉ bài thuộc category; All khôi phục; empty có no articles; category hiển thị theo locale.</x:v>
      </x:c>
      <x:c r="L6" s="3" t="str">
        <x:v>src/features/news/components/news-feed.tsx:20
src/features/news/components/news-list-screen.tsx:7
src/features/news/data/news-data.ts:110</x:v>
      </x:c>
      <x:c r="M6" s="3" t="str">
        <x:v>Đề xuất Integration | Test liên quan, chưa xác nhận phủ ca: src/features/news/components/news-feed.test.tsx, src/features/news/data/news-data.test.ts</x:v>
      </x:c>
      <x:c r="N6" s="10" t="str">
        <x:v>Not run</x:v>
      </x:c>
      <x:c r="O6" s="10" t="str">
        <x:v>MỘT PHẦN: Đã kiểm tra category filter và dữ liệu bài viết; chưa đủ pagination/sort/reset/featured combinations.</x:v>
      </x:c>
      <x:c r="P6" s="10" t="str">
        <x:v>execution/results.json → CMS-002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CMS-003</x:v>
      </x:c>
      <x:c r="B7" s="3" t="str">
        <x:v>Sort/reset page</x:v>
      </x:c>
      <x:c r="C7" s="3" t="str">
        <x:v>P2</x:v>
      </x:c>
      <x:c r="D7" s="3" t="str">
        <x:v>CMS.NEWS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Data local hiện có; fixture bổ sung DS-NEWS khi kiểm tra các nhánh; không cần backend CMS vì source hiện chưa tích hợp CMS API.</x:v>
      </x:c>
      <x:c r="I7" s="3" t="str">
        <x:v>Đang page2; sort latest/oldest</x:v>
      </x:c>
      <x:c r="J7" s="3" t="str">
        <x:v>1. Đổi sort.
2. Đổi category.</x:v>
      </x:c>
      <x:c r="K7" s="3" t="str">
        <x:v>Sắp theo publishedAt tăng/giảm đúng; đổi sort/category đều về page1; không mutation dữ liệu nguồn.</x:v>
      </x:c>
      <x:c r="L7" s="3" t="str">
        <x:v>src/features/news/components/news-feed.tsx:20
src/features/news/components/news-list-screen.tsx:7
src/features/news/data/news-data.ts:110</x:v>
      </x:c>
      <x:c r="M7" s="3" t="str">
        <x:v>Đề xuất Integration | Test liên quan, chưa xác nhận phủ ca: src/features/news/components/news-feed.test.tsx, src/features/news/data/news-data.test.ts</x:v>
      </x:c>
      <x:c r="N7" s="10" t="str">
        <x:v>Not run</x:v>
      </x:c>
      <x:c r="O7" s="10" t="str">
        <x:v>MỘT PHẦN: Đã kiểm tra category filter và dữ liệu bài viết; chưa đủ pagination/sort/reset/featured combinations.</x:v>
      </x:c>
      <x:c r="P7" s="10" t="str">
        <x:v>execution/results.json → CMS-003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CMS-004</x:v>
      </x:c>
      <x:c r="B8" s="3" t="str">
        <x:v>Pagination feed</x:v>
      </x:c>
      <x:c r="C8" s="3" t="str">
        <x:v>P2</x:v>
      </x:c>
      <x:c r="D8" s="3" t="str">
        <x:v>CMS.NEWS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Data local hiện có; fixture bổ sung DS-NEWS khi kiểm tra các nhánh; không cần backend CMS vì source hiện chưa tích hợp CMS API.</x:v>
      </x:c>
      <x:c r="I8" s="3" t="str">
        <x:v>6 bài trong feed; page1/2</x:v>
      </x:c>
      <x:c r="J8" s="3" t="str">
        <x:v>1. Next rồi Previous.
2. Chọn số trang.</x:v>
      </x:c>
      <x:c r="K8" s="3" t="str">
        <x:v>Page1 có4 bài, page2 có2; nút biên disabled; aria-current đúng; không có bài trùng/lost do sort.</x:v>
      </x:c>
      <x:c r="L8" s="3" t="str">
        <x:v>src/features/news/components/news-feed.tsx:20
src/features/news/components/news-list-screen.tsx:7
src/features/news/data/news-data.ts:110</x:v>
      </x:c>
      <x:c r="M8" s="3" t="str">
        <x:v>Đề xuất Integration | Test liên quan, chưa xác nhận phủ ca: src/features/news/components/news-feed.test.tsx, src/features/news/data/news-data.test.ts</x:v>
      </x:c>
      <x:c r="N8" s="10" t="str">
        <x:v>Not run</x:v>
      </x:c>
      <x:c r="O8" s="10" t="str">
        <x:v>MỘT PHẦN: Đã kiểm tra category filter và dữ liệu bài viết; chưa đủ pagination/sort/reset/featured combinations.</x:v>
      </x:c>
      <x:c r="P8" s="10" t="str">
        <x:v>execution/results.json → CMS-004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CMS-005</x:v>
      </x:c>
      <x:c r="B9" s="3" t="str">
        <x:v>Đọc bài và route sai</x:v>
      </x:c>
      <x:c r="C9" s="3" t="str">
        <x:v>P2</x:v>
      </x:c>
      <x:c r="D9" s="3" t="str">
        <x:v>CMS.DETAIL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Data local hiện có; fixture bổ sung DS-NEWS khi kiểm tra các nhánh; không cần backend CMS vì source hiện chưa tích hợp CMS API.</x:v>
      </x:c>
      <x:c r="I9" s="3" t="str">
        <x:v>Mọi slug trong newsArticles; unknown slug</x:v>
      </x:c>
      <x:c r="J9" s="3" t="str">
        <x:v>1. Mở từng link bài.
2. Reload.
3. Mở slug không có.</x:v>
      </x:c>
      <x:c r="K9" s="3" t="str">
        <x:v>Title/date/category/intro/sections/gallery đúng từng bài; unknown404; không lặp body của bài khác.</x:v>
      </x:c>
      <x:c r="L9" s="3" t="str">
        <x:v>src/features/news/components/news-detail-screen.tsx:12
src/features/news/data/news-data.ts:110</x:v>
      </x:c>
      <x:c r="M9" s="3" t="str">
        <x:v>Đề xuất Integration | Test liên quan, chưa xác nhận phủ ca: src/features/news/data/news-data.test.ts</x:v>
      </x:c>
      <x:c r="N9" s="10" t="str">
        <x:v>Not run</x:v>
      </x:c>
      <x:c r="O9" s="10" t="str">
        <x:v>Chưa thực thi đầy đủ các bước/expected của ca. Các test liên quan đã chạy, nhưng chưa có assertion đủ để gán Pass.</x:v>
      </x:c>
      <x:c r="P9" s="10" t="str">
        <x:v>execution/results.json → CMS-005
execution/assertions.json</x:v>
      </x:c>
      <x:c r="Q9" s="10" t="str"/>
      <x:c r="R9" s="11"/>
    </x:row>
    <x:row r="10" ht="94" customHeight="1">
      <x:c r="A10" s="3" t="str">
        <x:v>CMS-006</x:v>
      </x:c>
      <x:c r="B10" s="3" t="str">
        <x:v>Copy link thành công</x:v>
      </x:c>
      <x:c r="C10" s="3" t="str">
        <x:v>P2</x:v>
      </x:c>
      <x:c r="D10" s="3" t="str">
        <x:v>CMS.SHARE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Data local hiện có; fixture bổ sung DS-NEWS khi kiểm tra các nhánh; không cần backend CMS vì source hiện chưa tích hợp CMS API.</x:v>
      </x:c>
      <x:c r="I10" s="3" t="str">
        <x:v>HTTPS, clipboard mock resolve</x:v>
      </x:c>
      <x:c r="J10" s="3" t="str">
        <x:v>1. Click Copy link.
2. Tiến clock2s.</x:v>
      </x:c>
      <x:c r="K10" s="3" t="str">
        <x:v>Ghi đúng window.location.href có locale; announce Copied; về Copy link sau2s; cleanup timer khi unmount.</x:v>
      </x:c>
      <x:c r="L10" s="3" t="str">
        <x:v>src/features/news/components/copy-link-button.tsx:8</x:v>
      </x:c>
      <x:c r="M10" s="3" t="str">
        <x:v>Đề xuất Integration | Chưa có test đồng vị trí cho hành vi này</x:v>
      </x:c>
      <x:c r="N10" s="10" t="str">
        <x:v>Pass</x:v>
      </x:c>
      <x:c r="O10" s="10" t="str">
        <x:v>Assertion gắn ID đã pass qua UI/service boundary hoặc rule tương ứng; xem tên assertion trong assertions.json.</x:v>
      </x:c>
      <x:c r="P10" s="10" t="str">
        <x:v>execution/results.json → CMS-006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CMS-007</x:v>
      </x:c>
      <x:c r="B11" s="3" t="str">
        <x:v>Clipboard lỗi hoặc không hỗ trợ</x:v>
      </x:c>
      <x:c r="C11" s="3" t="str">
        <x:v>P2</x:v>
      </x:c>
      <x:c r="D11" s="3" t="str">
        <x:v>CMS.SHARE</x:v>
      </x:c>
      <x:c r="E11" s="3" t="str">
        <x:v>Negative</x:v>
      </x:c>
      <x:c r="F11" s="3" t="str">
        <x:v>Integration</x:v>
      </x:c>
      <x:c r="G11" s="3" t="str">
        <x:v>Quality target</x:v>
      </x:c>
      <x:c r="H11" s="3" t="str">
        <x:v>Data local hiện có; fixture bổ sung DS-NEWS khi kiểm tra các nhánh; không cần backend CMS vì source hiện chưa tích hợp CMS API.</x:v>
      </x:c>
      <x:c r="I11" s="3" t="str">
        <x:v>navigator.clipboard thiếu/reject</x:v>
      </x:c>
      <x:c r="J11" s="3" t="str">
        <x:v>1. Click copy.
2. Quan sát console và button.</x:v>
      </x:c>
      <x:c r="K11" s="3" t="str">
        <x:v>Không crash hoặc báo Copied giả; cần feedback fallback cho user khi không copy được.</x:v>
      </x:c>
      <x:c r="L11" s="3" t="str">
        <x:v>src/features/news/components/copy-link-button.tsx:8</x:v>
      </x:c>
      <x:c r="M11" s="3" t="str">
        <x:v>Đề xuất Integration | Chưa có test đồng vị trí cho hành vi này</x:v>
      </x:c>
      <x:c r="N11" s="10" t="str">
        <x:v>Pass</x:v>
      </x:c>
      <x:c r="O11" s="10" t="str">
        <x:v>Assertion gắn ID đã pass qua UI/service boundary hoặc rule tương ứng; xem tên assertion trong assertions.json.</x:v>
      </x:c>
      <x:c r="P11" s="10" t="str">
        <x:v>FIX-19
execution/results.json → CMS-007
execution/assertions.json</x:v>
      </x:c>
      <x:c r="Q11" s="10" t="str">
        <x:v>Codex — local automated QA</x:v>
      </x:c>
      <x:c r="R11" s="11" t="d">
        <x:v>2026-10-18T05:30:31.999Z</x:v>
      </x:c>
    </x:row>
    <x:row r="12" ht="122" customHeight="1">
      <x:c r="A12" s="3" t="str">
        <x:v>CMS-008</x:v>
      </x:c>
      <x:c r="B12" s="3" t="str">
        <x:v>Tính thời sự của upcoming event</x:v>
      </x:c>
      <x:c r="C12" s="3" t="str">
        <x:v>P2</x:v>
      </x:c>
      <x:c r="D12" s="3" t="str">
        <x:v>CMS.EVENT</x:v>
      </x:c>
      <x:c r="E12" s="3" t="str">
        <x:v>Functional</x:v>
      </x:c>
      <x:c r="F12" s="3" t="str">
        <x:v>Integration</x:v>
      </x:c>
      <x:c r="G12" s="3" t="str">
        <x:v>Decision required</x:v>
      </x:c>
      <x:c r="H12" s="3" t="str">
        <x:v>Data local hiện có; fixture bổ sung DS-NEWS khi kiểm tra các nhánh; không cần backend CMS vì source hiện chưa tích hợp CMS API.</x:v>
      </x:c>
      <x:c r="I12" s="3" t="str">
        <x:v>Clock 2026-10-18; event01Sep2026 và OCT01/15</x:v>
      </x:c>
      <x:c r="J12" s="3" t="str">
        <x:v>1. Mở sidebar news.
2. So nhãn upcoming với ngày.</x:v>
      </x:c>
      <x:c r="K12" s="3" t="str">
        <x:v>Event đã qua không được quảng bá là sắp diễn ra; yêu cầu PO nội dung/luồng cập nhật vì dữ liệu local không có năm ở upcomingEvents.</x:v>
      </x:c>
      <x:c r="L12" s="3" t="str">
        <x:v>src/features/news/data/news-data.ts:110</x:v>
      </x:c>
      <x:c r="M12" s="3" t="str">
        <x:v>Đề xuất Integration | Test liên quan, chưa xác nhận phủ ca: src/features/news/data/news-data.test.ts</x:v>
      </x:c>
      <x:c r="N12" s="10" t="str">
        <x:v>Blocked</x:v>
      </x:c>
      <x:c r="O12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2" s="10" t="str">
        <x:v>execution/results.json → CMS-008
execution/assertions.json</x:v>
      </x:c>
      <x:c r="Q12" s="10" t="str">
        <x:v>Codex — local automated QA</x:v>
      </x:c>
      <x:c r="R12" s="11"/>
    </x:row>
    <x:row r="13" ht="94" customHeight="1">
      <x:c r="A13" s="3" t="str">
        <x:v>CMS-009</x:v>
      </x:c>
      <x:c r="B13" s="3" t="str">
        <x:v>Nội dung và CTA</x:v>
      </x:c>
      <x:c r="C13" s="3" t="str">
        <x:v>P2</x:v>
      </x:c>
      <x:c r="D13" s="3" t="str">
        <x:v>CMS.ABOUT</x:v>
      </x:c>
      <x:c r="E13" s="3" t="str">
        <x:v>Functional</x:v>
      </x:c>
      <x:c r="F13" s="3" t="str">
        <x:v>Integration</x:v>
      </x:c>
      <x:c r="G13" s="3" t="str">
        <x:v>Decision required</x:v>
      </x:c>
      <x:c r="H13" s="3" t="str">
        <x:v>Data local hiện có; fixture bổ sung DS-NEWS khi kiểm tra các nhánh; không cần backend CMS vì source hiện chưa tích hợp CMS API.</x:v>
      </x:c>
      <x:c r="I13" s="3" t="str">
        <x:v>4 advantages,6 placeholder MediCore</x:v>
      </x:c>
      <x:c r="J13" s="3" t="str">
        <x:v>1. Mở about ở desktop/mobile.
2. Click Explore products.</x:v>
      </x:c>
      <x:c r="K13" s="3" t="str">
        <x:v>Narrative/advantages/CTA đủ, link /products giữ locale; chấp nhận 6 logo placeholder chỉ ở môi trường demo và được PO xác nhận cho release.</x:v>
      </x:c>
      <x:c r="L13" s="3" t="str">
        <x:v>src/features/about/components/about-screen.tsx:10</x:v>
      </x:c>
      <x:c r="M13" s="3" t="str">
        <x:v>Đề xuất Integration | Test liên quan, chưa xác nhận phủ ca: src/features/about/components/about-screen.test.tsx</x:v>
      </x:c>
      <x:c r="N13" s="10" t="str">
        <x:v>Blocked</x:v>
      </x:c>
      <x:c r="O13" s="10" t="str">
        <x:v>Expected chưa có quyết định PO/backend hoặc nội dung/contract được phê duyệt. Xem dependency gốc trong test case; không suy diễn Pass từ hành vi hiện tại.</x:v>
      </x:c>
      <x:c r="P13" s="10" t="str">
        <x:v>execution/results.json → CMS-009
execution/assertions.json</x:v>
      </x:c>
      <x:c r="Q13" s="10" t="str">
        <x:v>Codex — local automated QA</x:v>
      </x:c>
      <x:c r="R13" s="11"/>
    </x:row>
    <x:row r="14" ht="94" customHeight="1">
      <x:c r="A14" s="3" t="str">
        <x:v>CMS-010</x:v>
      </x:c>
      <x:c r="B14" s="3" t="str">
        <x:v>Terms đầy đủ và cấu trúc heading</x:v>
      </x:c>
      <x:c r="C14" s="3" t="str">
        <x:v>P2</x:v>
      </x:c>
      <x:c r="D14" s="3" t="str">
        <x:v>CMS.LEGAL</x:v>
      </x:c>
      <x:c r="E14" s="3" t="str">
        <x:v>Functional</x:v>
      </x:c>
      <x:c r="F14" s="3" t="str">
        <x:v>Integration</x:v>
      </x:c>
      <x:c r="G14" s="3" t="str">
        <x:v>Source</x:v>
      </x:c>
      <x:c r="H14" s="3" t="str">
        <x:v>Data local hiện có; fixture bổ sung DS-NEWS khi kiểm tra các nhánh; không cần backend CMS vì source hiện chưa tích hợp CMS API.</x:v>
      </x:c>
      <x:c r="I14" s="3" t="str">
        <x:v>termsDocument local</x:v>
      </x:c>
      <x:c r="J14" s="3" t="str">
        <x:v>1. Mở Terms.
2. Đối chiếu từng section với legal.data.ts.</x:v>
      </x:c>
      <x:c r="K14" s="3" t="str">
        <x:v>Đủ14 mục theo đúng thứ tự, một h1 nội dung trang, các section h2 có ID duy nhất; paragraphs không mất.</x:v>
      </x:c>
      <x:c r="L14" s="3" t="str">
        <x:v>src/features/legal/components/legal-document-screen.tsx:5
src/features/legal/legal.data.ts:3</x:v>
      </x:c>
      <x:c r="M14" s="3" t="str">
        <x:v>Đề xuất Integration | Test liên quan, chưa xác nhận phủ ca: src/features/legal/components/legal-document-screen.test.tsx</x:v>
      </x:c>
      <x:c r="N14" s="10" t="str">
        <x:v>Pass</x:v>
      </x:c>
      <x:c r="O14" s="10" t="str">
        <x:v>Nội dung legal có đủ cấu trúc section/heading và list theo dữ liệu source hiện tại. Không xác nhận hiệu lực pháp lý/nội dung dịch.</x:v>
      </x:c>
      <x:c r="P14" s="10" t="str">
        <x:v>execution/results.json → CMS-010
execution/assertions.json</x:v>
      </x:c>
      <x:c r="Q14" s="10" t="str">
        <x:v>Codex — local automated QA</x:v>
      </x:c>
      <x:c r="R14" s="11" t="d">
        <x:v>2026-10-18T05:30:31.999Z</x:v>
      </x:c>
    </x:row>
    <x:row r="15" ht="94" customHeight="1">
      <x:c r="A15" s="3" t="str">
        <x:v>CMS-011</x:v>
      </x:c>
      <x:c r="B15" s="3" t="str">
        <x:v>Privacy lists và closing paragraphs</x:v>
      </x:c>
      <x:c r="C15" s="3" t="str">
        <x:v>P2</x:v>
      </x:c>
      <x:c r="D15" s="3" t="str">
        <x:v>CMS.LEGAL</x:v>
      </x:c>
      <x:c r="E15" s="3" t="str">
        <x:v>Accessibility</x:v>
      </x:c>
      <x:c r="F15" s="3" t="str">
        <x:v>Integration</x:v>
      </x:c>
      <x:c r="G15" s="3" t="str">
        <x:v>Source</x:v>
      </x:c>
      <x:c r="H15" s="3" t="str">
        <x:v>Data local hiện có; fixture bổ sung DS-NEWS khi kiểm tra các nhánh; không cần backend CMS vì source hiện chưa tích hợp CMS API.</x:v>
      </x:c>
      <x:c r="I15" s="3" t="str">
        <x:v>privacyDocument local</x:v>
      </x:c>
      <x:c r="J15" s="3" t="str">
        <x:v>1. Mở Privacy.
2. Đọc headings/lists bằng screen reader.</x:v>
      </x:c>
      <x:c r="K15" s="3" t="str">
        <x:v>Đủ11 mục theo data; list semantic ul/li và closing paragraphs giữ thứ tự; text được escape.</x:v>
      </x:c>
      <x:c r="L15" s="3" t="str">
        <x:v>src/features/legal/components/legal-document-screen.tsx:5
src/features/legal/legal.data.ts:3</x:v>
      </x:c>
      <x:c r="M15" s="3" t="str">
        <x:v>Đề xuất Integration | Test liên quan, chưa xác nhận phủ ca: src/features/legal/components/legal-document-screen.test.tsx</x:v>
      </x:c>
      <x:c r="N15" s="10" t="str">
        <x:v>Pass</x:v>
      </x:c>
      <x:c r="O15" s="10" t="str">
        <x:v>Nội dung legal có đủ cấu trúc section/heading và list theo dữ liệu source hiện tại. Không xác nhận hiệu lực pháp lý/nội dung dịch.</x:v>
      </x:c>
      <x:c r="P15" s="10" t="str">
        <x:v>execution/results.json → CMS-011
execution/assertions.json</x:v>
      </x:c>
      <x:c r="Q15" s="10" t="str">
        <x:v>Codex — local automated QA</x:v>
      </x:c>
      <x:c r="R15" s="11" t="d">
        <x:v>2026-10-18T05:30:31.999Z</x:v>
      </x:c>
    </x:row>
    <x:row r="16" ht="122" customHeight="1">
      <x:c r="A16" s="3" t="str">
        <x:v>CMS-012</x:v>
      </x:c>
      <x:c r="B16" s="3" t="str">
        <x:v>Locale legal content</x:v>
      </x:c>
      <x:c r="C16" s="3" t="str">
        <x:v>P2</x:v>
      </x:c>
      <x:c r="D16" s="3" t="str">
        <x:v>CMS.LEGAL</x:v>
      </x:c>
      <x:c r="E16" s="3" t="str">
        <x:v>Functional</x:v>
      </x:c>
      <x:c r="F16" s="3" t="str">
        <x:v>Integration</x:v>
      </x:c>
      <x:c r="G16" s="3" t="str">
        <x:v>Decision required</x:v>
      </x:c>
      <x:c r="H16" s="3" t="str">
        <x:v>Data local hiện có; fixture bổ sung DS-NEWS khi kiểm tra các nhánh; không cần backend CMS vì source hiện chưa tích hợp CMS API.</x:v>
      </x:c>
      <x:c r="I16" s="3" t="str">
        <x:v>/vi/privacy; /vi/terms-and-conditions</x:v>
      </x:c>
      <x:c r="J16" s="3" t="str">
        <x:v>1. Chuyển vi.
2. So title/body/metadata.</x:v>
      </x:c>
      <x:c r="K16" s="3" t="str">
        <x:v>Chính sách ngôn ngữ được PO xác nhận: dịch body hay giữ bản tiếng Anh chính thức; không coi metadata vi là bằng chứng body đã dịch.</x:v>
      </x:c>
      <x:c r="L16" s="3" t="str">
        <x:v>src/features/legal/components/legal-document-screen.tsx:5
src/features/legal/legal.data.ts:3</x:v>
      </x:c>
      <x:c r="M16" s="3" t="str">
        <x:v>Đề xuất Integration | Test liên quan, chưa xác nhận phủ ca: src/features/legal/components/legal-document-screen.test.tsx</x:v>
      </x:c>
      <x:c r="N16" s="10" t="str">
        <x:v>Blocked</x:v>
      </x:c>
      <x:c r="O16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6" s="10" t="str">
        <x:v>execution/results.json → CMS-012
execution/assertions.json</x:v>
      </x:c>
      <x:c r="Q16" s="10" t="str">
        <x:v>Codex — local automated QA</x:v>
      </x:c>
      <x:c r="R16" s="11"/>
    </x:row>
    <x:row r="17" ht="122" customHeight="1">
      <x:c r="A17" s="3" t="str">
        <x:v>CMS-013</x:v>
      </x:c>
      <x:c r="B17" s="3" t="str">
        <x:v>Nội dung trang bảo mật khớp thực tế</x:v>
      </x:c>
      <x:c r="C17" s="3" t="str">
        <x:v>P2</x:v>
      </x:c>
      <x:c r="D17" s="3" t="str">
        <x:v>CMS.SECURITY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Data local hiện có; fixture bổ sung DS-NEWS khi kiểm tra các nhánh; không cần backend CMS vì source hiện chưa tích hợp CMS API.</x:v>
      </x:c>
      <x:c r="I17" s="3" t="str">
        <x:v>/security, /vi/security</x:v>
      </x:c>
      <x:c r="J17" s="3" t="str">
        <x:v>1. Đọc các cam kết session/cache.
2. Đối chiếu cơ chế auth source.</x:v>
      </x:c>
      <x:c r="K17" s="3" t="str">
        <x:v>Không tuyên bố HttpOnly hoặc server permission đã được chứng minh chỉ từ frontend; link/navigation/metadata đúng locale.</x:v>
      </x:c>
      <x:c r="L17" s="3" t="str">
        <x:v>src/app/[locale]/(marketing)/security/page.tsx:7</x:v>
      </x:c>
      <x:c r="M17" s="3" t="str">
        <x:v>Đề xuất Integration | Chưa có test đồng vị trí cho hành vi này</x:v>
      </x:c>
      <x:c r="N17" s="10" t="str">
        <x:v>Blocked</x:v>
      </x:c>
      <x:c r="O17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7" s="10" t="str">
        <x:v>execution/results.json → CMS-013
execution/assertions.json</x:v>
      </x:c>
      <x:c r="Q17" s="10" t="str">
        <x:v>Codex — local automated QA</x:v>
      </x:c>
      <x:c r="R17" s="11"/>
    </x:row>
  </x:sheetData>
  <x:conditionalFormatting sqref="N5:N17">
    <x:cfRule type="containsText" dxfId="36" priority="1" operator="containsText" text="Fail"/>
    <x:cfRule type="containsText" dxfId="37" priority="2" operator="containsText" text="Blocked"/>
  </x:conditionalFormatting>
  <x:conditionalFormatting sqref="C5:C17">
    <x:cfRule type="containsText" dxfId="38" priority="3" operator="containsText" text="P0"/>
  </x:conditionalFormatting>
  <x:dataValidations count="1">
    <x:dataValidation type="list" sqref="N5:N17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a4071c1277445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UI — Thành phần dùng chung và carousel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UI-001</x:v>
      </x:c>
      <x:c r="B5" s="3" t="str">
        <x:v>Header guest và user</x:v>
      </x:c>
      <x:c r="C5" s="3" t="str">
        <x:v>P1</x:v>
      </x:c>
      <x:c r="D5" s="3" t="str">
        <x:v>UI.HEADER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Browser thật ở 320/390/768/1280/1440; keyboard và screen reader khi nêu; UI fixture riêng với đúng providers; clock kiểm soát ở automation.</x:v>
      </x:c>
      <x:c r="I5" s="3" t="str">
        <x:v>Guest,sessionA, profile loading/error</x:v>
      </x:c>
      <x:c r="J5" s="3" t="str">
        <x:v>1. Mở Home và auth route.
2. Chuyển session state.</x:v>
      </x:c>
      <x:c r="K5" s="3" t="str">
        <x:v>Guest link login; có profile thì fullName/email đúng; menu không suy ra auth chỉ từ pathname; không hiển thị tên người khác khi query lỗi.</x:v>
      </x:c>
      <x:c r="L5" s="3" t="str">
        <x:v>src/components/layout/main-header.tsx:45</x:v>
      </x:c>
      <x:c r="M5" s="3" t="str">
        <x:v>Đề xuất Integration | Test liên quan, chưa xác nhận phủ ca: src/components/layout/main-header.test.tsx</x:v>
      </x:c>
      <x:c r="N5" s="10" t="str">
        <x:v>Pass</x:v>
      </x:c>
      <x:c r="O5" s="10" t="str">
        <x:v>Account/header hover và shared country contract (249 ISO, search/value format/shared code/focus/disabled/fallback) đã pass.</x:v>
      </x:c>
      <x:c r="P5" s="10" t="str">
        <x:v>execution/results.json → UI-001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UI-002</x:v>
      </x:c>
      <x:c r="B6" s="3" t="str">
        <x:v>Hover delay và đóng menu</x:v>
      </x:c>
      <x:c r="C6" s="3" t="str">
        <x:v>P2</x:v>
      </x:c>
      <x:c r="D6" s="3" t="str">
        <x:v>UI.CATEGORY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Browser thật ở 320/390/768/1280/1440; keyboard và screen reader khi nêu; UI fixture riêng với đúng providers; clock kiểm soát ở automation.</x:v>
      </x:c>
      <x:c r="I6" s="3" t="str">
        <x:v>Cây3 cấp</x:v>
      </x:c>
      <x:c r="J6" s="3" t="str">
        <x:v>1. Hover trigger dưới200ms rồi rời.
2. Hover&gt;=200ms.
3. Di chuyển vào panel rồi rời350ms.</x:v>
      </x:c>
      <x:c r="K6" s="3" t="str">
        <x:v>Không mở nhầm hover ngắn; không đóng khi sang panel; đóng sau delay và reset path; timer cleanup khi unmount.</x:v>
      </x:c>
      <x:c r="L6" s="3" t="str">
        <x:v>src/components/layout/category-popover.tsx:38</x:v>
      </x:c>
      <x:c r="M6" s="3" t="str">
        <x:v>Đề xuất Integration | Chưa có test đồng vị trí cho hành vi này</x:v>
      </x:c>
      <x:c r="N6" s="10" t="str">
        <x:v>Pass</x:v>
      </x:c>
      <x:c r="O6" s="10" t="str">
        <x:v>Account/header hover và shared country contract (249 ISO, search/value format/shared code/focus/disabled/fallback) đã pass.</x:v>
      </x:c>
      <x:c r="P6" s="10" t="str">
        <x:v>execution/results.json → UI-002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UI-003</x:v>
      </x:c>
      <x:c r="B7" s="3" t="str">
        <x:v>Menu keyboard/touch và lỗi</x:v>
      </x:c>
      <x:c r="C7" s="3" t="str">
        <x:v>P2</x:v>
      </x:c>
      <x:c r="D7" s="3" t="str">
        <x:v>UI.CATEGORY</x:v>
      </x:c>
      <x:c r="E7" s="3" t="str">
        <x:v>Accessibility</x:v>
      </x:c>
      <x:c r="F7" s="3" t="str">
        <x:v>Integration</x:v>
      </x:c>
      <x:c r="G7" s="3" t="str">
        <x:v>Source</x:v>
      </x:c>
      <x:c r="H7" s="3" t="str">
        <x:v>Browser thật ở 320/390/768/1280/1440; keyboard và screen reader khi nêu; UI fixture riêng với đúng providers; clock kiểm soát ở automation.</x:v>
      </x:c>
      <x:c r="I7" s="3" t="str">
        <x:v>Enter trigger; focus child; disclosure; empty/loading/error</x:v>
      </x:c>
      <x:c r="J7" s="3" t="str">
        <x:v>1. Mở bằng keyboard/touch.
2. Đi tới cấp3.
3. Escape, click ngoài.
4. Lặp resource lỗi.</x:v>
      </x:c>
      <x:c r="K7" s="3" t="str">
        <x:v>Disclosure aria-expanded; link và expand tách được; không buộc hover; Escape restore focus; các state thông báo khác nhau.</x:v>
      </x:c>
      <x:c r="L7" s="3" t="str">
        <x:v>src/components/layout/category-popover.tsx:38</x:v>
      </x:c>
      <x:c r="M7" s="3" t="str">
        <x:v>Đề xuất Integration | Chưa có test đồng vị trí cho hành vi này</x:v>
      </x:c>
      <x:c r="N7" s="10" t="str">
        <x:v>Not run</x:v>
      </x:c>
      <x:c r="O7" s="10" t="str">
        <x:v>MỘT PHẦN: Có assertion keyboard, accessible labels và modal pending; chưa audit đầy đủ menu/form/dialog trong toàn ứng dụng.</x:v>
      </x:c>
      <x:c r="P7" s="10" t="str">
        <x:v>execution/results.json → UI-003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UI-004</x:v>
      </x:c>
      <x:c r="B8" s="3" t="str">
        <x:v>Đủ249 quốc gia và mã gọi</x:v>
      </x:c>
      <x:c r="C8" s="3" t="str">
        <x:v>P1</x:v>
      </x:c>
      <x:c r="D8" s="3" t="str">
        <x:v>UI.COUNTRY</x:v>
      </x:c>
      <x:c r="E8" s="3" t="str">
        <x:v>Contract</x:v>
      </x:c>
      <x:c r="F8" s="3" t="str">
        <x:v>Unit</x:v>
      </x:c>
      <x:c r="G8" s="3" t="str">
        <x:v>Source</x:v>
      </x:c>
      <x:c r="H8" s="3" t="str">
        <x:v>Browser thật ở 320/390/768/1280/1440; keyboard và screen reader khi nêu; UI fixture riêng với đúng providers; clock kiểm soát ở automation.</x:v>
      </x:c>
      <x:c r="I8" s="3" t="str">
        <x:v>countries/callingCodes; flag dataset261 entries</x:v>
      </x:c>
      <x:c r="J8" s="3" t="str">
        <x:v>1. Kiểm tra mapping toàn bộ data.
2. Mở CountrySelect.</x:v>
      </x:c>
      <x:c r="K8" s="3" t="str">
        <x:v>249 ISO country duy nhất có dial code; không nhân bản quốc gia do261 flag; sửa identity dựa filename flag như source.</x:v>
      </x:c>
      <x:c r="L8" s="3" t="str">
        <x:v>src/components/shared/country-select.tsx:24
src/constants/country-options.ts:20</x:v>
      </x:c>
      <x:c r="M8" s="3" t="str">
        <x:v>Đề xuất Unit | Test liên quan, chưa xác nhận phủ ca: src/components/shared/country-select.test.tsx</x:v>
      </x:c>
      <x:c r="N8" s="10" t="str">
        <x:v>Pass</x:v>
      </x:c>
      <x:c r="O8" s="10" t="str">
        <x:v>Account/header hover và shared country contract (249 ISO, search/value format/shared code/focus/disabled/fallback) đã pass.</x:v>
      </x:c>
      <x:c r="P8" s="10" t="str">
        <x:v>execution/results.json → UI-004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UI-005</x:v>
      </x:c>
      <x:c r="B9" s="3" t="str">
        <x:v>Search tên, ISO, dấu và calling code</x:v>
      </x:c>
      <x:c r="C9" s="3" t="str">
        <x:v>P2</x:v>
      </x:c>
      <x:c r="D9" s="3" t="str">
        <x:v>UI.COUNTRY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Browser thật ở 320/390/768/1280/1440; keyboard và screen reader khi nêu; UI fixture riêng với đúng providers; clock kiểm soát ở automation.</x:v>
      </x:c>
      <x:c r="I9" s="3" t="str">
        <x:v>vietnam,VN,+84, Việt Nam alias khi có; Åland/Aland</x:v>
      </x:c>
      <x:c r="J9" s="3" t="str">
        <x:v>1. Search từng từ.
2. Chọn item từ keyboard.</x:v>
      </x:c>
      <x:c r="K9" s="3" t="str">
        <x:v>Tìm theo name/code/dialCode/aliases; trim và bỏ dấu; chỉ alias có trong dataset mới phải match; chọn đúng country.</x:v>
      </x:c>
      <x:c r="L9" s="3" t="str">
        <x:v>src/components/shared/country-select.tsx:24
src/constants/country-options.ts:20</x:v>
      </x:c>
      <x:c r="M9" s="3" t="str">
        <x:v>Đề xuất Integration | Test liên quan, chưa xác nhận phủ ca: src/components/shared/country-select.test.tsx</x:v>
      </x:c>
      <x:c r="N9" s="10" t="str">
        <x:v>Pass</x:v>
      </x:c>
      <x:c r="O9" s="10" t="str">
        <x:v>Account/header hover và shared country contract (249 ISO, search/value format/shared code/focus/disabled/fallback) đã pass.</x:v>
      </x:c>
      <x:c r="P9" s="10" t="str">
        <x:v>execution/results.json → UI-005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UI-006</x:v>
      </x:c>
      <x:c r="B10" s="3" t="str">
        <x:v>Các value format</x:v>
      </x:c>
      <x:c r="C10" s="3" t="str">
        <x:v>P1</x:v>
      </x:c>
      <x:c r="D10" s="3" t="str">
        <x:v>UI.COUNTRY</x:v>
      </x:c>
      <x:c r="E10" s="3" t="str">
        <x:v>Contract</x:v>
      </x:c>
      <x:c r="F10" s="3" t="str">
        <x:v>Integration</x:v>
      </x:c>
      <x:c r="G10" s="3" t="str">
        <x:v>Source</x:v>
      </x:c>
      <x:c r="H10" s="3" t="str">
        <x:v>Browser thật ở 320/390/768/1280/1440; keyboard và screen reader khi nêu; UI fixture riêng với đúng providers; clock kiểm soát ở automation.</x:v>
      </x:c>
      <x:c r="I10" s="3" t="str">
        <x:v>code,name,dialCode,dialDigits</x:v>
      </x:c>
      <x:c r="J10" s="3" t="str">
        <x:v>1. Render cùng chọn Vietnam với từng format.
2. Submit form.</x:v>
      </x:c>
      <x:c r="K10" s="3" t="str">
        <x:v>Value lần lượt VN,Vietnam,+84,84; display calling code không thay định dạng gửi của form.</x:v>
      </x:c>
      <x:c r="L10" s="3" t="str">
        <x:v>src/components/shared/country-select.tsx:24
src/constants/country-options.ts:20</x:v>
      </x:c>
      <x:c r="M10" s="3" t="str">
        <x:v>Đề xuất Integration | Test liên quan, chưa xác nhận phủ ca: src/components/shared/country-select.test.tsx</x:v>
      </x:c>
      <x:c r="N10" s="10" t="str">
        <x:v>Pass</x:v>
      </x:c>
      <x:c r="O10" s="10" t="str">
        <x:v>Account/header hover và shared country contract (249 ISO, search/value format/shared code/focus/disabled/fallback) đã pass.</x:v>
      </x:c>
      <x:c r="P10" s="10" t="str">
        <x:v>execution/results.json → UI-006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UI-007</x:v>
      </x:c>
      <x:c r="B11" s="3" t="str">
        <x:v>Mã gọi dùng chung nhiều nước</x:v>
      </x:c>
      <x:c r="C11" s="3" t="str">
        <x:v>P1</x:v>
      </x:c>
      <x:c r="D11" s="3" t="str">
        <x:v>UI.COUNTRY</x:v>
      </x:c>
      <x:c r="E11" s="3" t="str">
        <x:v>Regression</x:v>
      </x:c>
      <x:c r="F11" s="3" t="str">
        <x:v>Integration</x:v>
      </x:c>
      <x:c r="G11" s="3" t="str">
        <x:v>Source</x:v>
      </x:c>
      <x:c r="H11" s="3" t="str">
        <x:v>Browser thật ở 320/390/768/1280/1440; keyboard và screen reader khi nêu; UI fixture riêng với đúng providers; clock kiểm soát ở automation.</x:v>
      </x:c>
      <x:c r="I11" s="3" t="str">
        <x:v>US/CA cùng+1</x:v>
      </x:c>
      <x:c r="J11" s="3" t="str">
        <x:v>1. Chọn CA ở dialCode mode.
2. Đóng/mở menu.</x:v>
      </x:c>
      <x:c r="K11" s="3" t="str">
        <x:v>Giữ flag CA do chosenCode, không tự nhảy US; giá trị vẫn+1; không duplicate khi re-render.</x:v>
      </x:c>
      <x:c r="L11" s="3" t="str">
        <x:v>src/components/shared/country-select.tsx:24
src/constants/country-options.ts:20</x:v>
      </x:c>
      <x:c r="M11" s="3" t="str">
        <x:v>Đề xuất Integration | Test liên quan, chưa xác nhận phủ ca: src/components/shared/country-select.test.tsx</x:v>
      </x:c>
      <x:c r="N11" s="10" t="str">
        <x:v>Pass</x:v>
      </x:c>
      <x:c r="O11" s="10" t="str">
        <x:v>Account/header hover và shared country contract (249 ISO, search/value format/shared code/focus/disabled/fallback) đã pass.</x:v>
      </x:c>
      <x:c r="P11" s="10" t="str">
        <x:v>execution/results.json → UI-007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UI-008</x:v>
      </x:c>
      <x:c r="B12" s="3" t="str">
        <x:v>Stored name/code và value không biết</x:v>
      </x:c>
      <x:c r="C12" s="3" t="str">
        <x:v>P2</x:v>
      </x:c>
      <x:c r="D12" s="3" t="str">
        <x:v>UI.COUNTRY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Browser thật ở 320/390/768/1280/1440; keyboard và screen reader khi nêu; UI fixture riêng với đúng providers; clock kiểm soát ở automation.</x:v>
      </x:c>
      <x:c r="I12" s="3" t="str">
        <x:v>" singapore ", "vn", unknown</x:v>
      </x:c>
      <x:c r="J12" s="3" t="str">
        <x:v>1. Prefill profile.
2. Mở và đổi lựa chọn.</x:v>
      </x:c>
      <x:c r="K12" s="3" t="str">
        <x:v>Known alias/code resolve được; unknown giữ text/fallback không crash; chọn mới trả format đúng.</x:v>
      </x:c>
      <x:c r="L12" s="3" t="str">
        <x:v>src/components/shared/country-select.tsx:24
src/constants/country-options.ts:20</x:v>
      </x:c>
      <x:c r="M12" s="3" t="str">
        <x:v>Đề xuất Integration | Test liên quan, chưa xác nhận phủ ca: src/components/shared/country-select.test.tsx</x:v>
      </x:c>
      <x:c r="N12" s="10" t="str">
        <x:v>Pass</x:v>
      </x:c>
      <x:c r="O12" s="10" t="str">
        <x:v>Account/header hover và shared country contract (249 ISO, search/value format/shared code/focus/disabled/fallback) đã pass.</x:v>
      </x:c>
      <x:c r="P12" s="10" t="str">
        <x:v>execution/results.json → UI-008
execution/assertions.json</x:v>
      </x:c>
      <x:c r="Q12" s="10" t="str">
        <x:v>Codex — local automated QA</x:v>
      </x:c>
      <x:c r="R12" s="11" t="d">
        <x:v>2026-10-18T05:30:31.999Z</x:v>
      </x:c>
    </x:row>
    <x:row r="13" ht="94" customHeight="1">
      <x:c r="A13" s="3" t="str">
        <x:v>UI-009</x:v>
      </x:c>
      <x:c r="B13" s="3" t="str">
        <x:v>Allowed countries và flag lỗi</x:v>
      </x:c>
      <x:c r="C13" s="3" t="str">
        <x:v>P2</x:v>
      </x:c>
      <x:c r="D13" s="3" t="str">
        <x:v>UI.COUNTRY</x:v>
      </x:c>
      <x:c r="E13" s="3" t="str">
        <x:v>Functional</x:v>
      </x:c>
      <x:c r="F13" s="3" t="str">
        <x:v>Integration</x:v>
      </x:c>
      <x:c r="G13" s="3" t="str">
        <x:v>Source</x:v>
      </x:c>
      <x:c r="H13" s="3" t="str">
        <x:v>Browser thật ở 320/390/768/1280/1440; keyboard và screen reader khi nêu; UI fixture riêng với đúng providers; clock kiểm soát ở automation.</x:v>
      </x:c>
      <x:c r="I13" s="3" t="str">
        <x:v>SG/MY/VN; flag404; offline external flag host</x:v>
      </x:c>
      <x:c r="J13" s="3" t="str">
        <x:v>1. Mở picker hạn chế.
2. Cho ảnh flag lỗi.</x:v>
      </x:c>
      <x:c r="K13" s="3" t="str">
        <x:v>Chỉ hiện allowed ISO countries; ảnh lỗi fallback ISO, tên không mất; không cần remote flags để chọn quốc gia.</x:v>
      </x:c>
      <x:c r="L13" s="3" t="str">
        <x:v>src/components/shared/country-select.tsx:24
src/constants/country-options.ts:20</x:v>
      </x:c>
      <x:c r="M13" s="3" t="str">
        <x:v>Đề xuất Integration | Test liên quan, chưa xác nhận phủ ca: src/components/shared/country-select.test.tsx</x:v>
      </x:c>
      <x:c r="N13" s="10" t="str">
        <x:v>Pass</x:v>
      </x:c>
      <x:c r="O13" s="10" t="str">
        <x:v>Account/header hover và shared country contract (249 ISO, search/value format/shared code/focus/disabled/fallback) đã pass.</x:v>
      </x:c>
      <x:c r="P13" s="10" t="str">
        <x:v>execution/results.json → UI-009
execution/assertions.json</x:v>
      </x:c>
      <x:c r="Q13" s="10" t="str">
        <x:v>Codex — local automated QA</x:v>
      </x:c>
      <x:c r="R13" s="11" t="d">
        <x:v>2026-10-18T05:30:31.999Z</x:v>
      </x:c>
    </x:row>
    <x:row r="14" ht="94" customHeight="1">
      <x:c r="A14" s="3" t="str">
        <x:v>UI-010</x:v>
      </x:c>
      <x:c r="B14" s="3" t="str">
        <x:v>Keyboard, Escape và disabled</x:v>
      </x:c>
      <x:c r="C14" s="3" t="str">
        <x:v>P2</x:v>
      </x:c>
      <x:c r="D14" s="3" t="str">
        <x:v>UI.COUNTRY</x:v>
      </x:c>
      <x:c r="E14" s="3" t="str">
        <x:v>Accessibility</x:v>
      </x:c>
      <x:c r="F14" s="3" t="str">
        <x:v>Integration</x:v>
      </x:c>
      <x:c r="G14" s="3" t="str">
        <x:v>Source</x:v>
      </x:c>
      <x:c r="H14" s="3" t="str">
        <x:v>Browser thật ở 320/390/768/1280/1440; keyboard và screen reader khi nêu; UI fixture riêng với đúng providers; clock kiểm soát ở automation.</x:v>
      </x:c>
      <x:c r="I14" s="3" t="str">
        <x:v>Chưa chọn country; query no-match</x:v>
      </x:c>
      <x:c r="J14" s="3" t="str">
        <x:v>1. ArrowDown mở.
2. Gõ tìm, chọn bằng Enter.
3. Escape/hủy.
4. Thử disabled.</x:v>
      </x:c>
      <x:c r="K14" s="3" t="str">
        <x:v>Search tự focus; empty status; selection cũ giữ khi dismiss; restore focus trigger; disabled không mở.</x:v>
      </x:c>
      <x:c r="L14" s="3" t="str">
        <x:v>src/components/shared/country-select.tsx:24
src/constants/country-options.ts:20</x:v>
      </x:c>
      <x:c r="M14" s="3" t="str">
        <x:v>Đề xuất Integration | Test liên quan, chưa xác nhận phủ ca: src/components/shared/country-select.test.tsx</x:v>
      </x:c>
      <x:c r="N14" s="10" t="str">
        <x:v>Pass</x:v>
      </x:c>
      <x:c r="O14" s="10" t="str">
        <x:v>Account/header hover và shared country contract (249 ISO, search/value format/shared code/focus/disabled/fallback) đã pass.</x:v>
      </x:c>
      <x:c r="P14" s="10" t="str">
        <x:v>execution/results.json → UI-010
execution/assertions.json</x:v>
      </x:c>
      <x:c r="Q14" s="10" t="str">
        <x:v>Codex — local automated QA</x:v>
      </x:c>
      <x:c r="R14" s="11" t="d">
        <x:v>2026-10-18T05:30:31.999Z</x:v>
      </x:c>
    </x:row>
    <x:row r="15" ht="122" customHeight="1">
      <x:c r="A15" s="3" t="str">
        <x:v>UI-011</x:v>
      </x:c>
      <x:c r="B15" s="3" t="str">
        <x:v>Catalog search phải có hành vi thực</x:v>
      </x:c>
      <x:c r="C15" s="3" t="str">
        <x:v>P1</x:v>
      </x:c>
      <x:c r="D15" s="3" t="str">
        <x:v>UI.HEADER</x:v>
      </x:c>
      <x:c r="E15" s="3" t="str">
        <x:v>Functional</x:v>
      </x:c>
      <x:c r="F15" s="3" t="str">
        <x:v>Integration</x:v>
      </x:c>
      <x:c r="G15" s="3" t="str">
        <x:v>Existing bug</x:v>
      </x:c>
      <x:c r="H15" s="3" t="str">
        <x:v>Browser thật ở 320/390/768/1280/1440; keyboard và screen reader khi nêu; UI fixture riêng với đúng providers; clock kiểm soát ở automation.</x:v>
      </x:c>
      <x:c r="I15" s="3" t="str">
        <x:v>Product name/SKU/CAS và query không khớp</x:v>
      </x:c>
      <x:c r="J15" s="3" t="str">
        <x:v>1. Gõ query.
2. Click Search và Enter.</x:v>
      </x:c>
      <x:c r="K15" s="3" t="str">
        <x:v>Sau khi có backend contract: điều hướng kết quả, loading/empty/error đúng query. Hiện hành vi tìm kiếm chưa được triển khai.
Dependency / lưu ý: BUG-20261007-008 blocked: chưa có search param/endpoint; không tự tạo query không được backend dùng.</x:v>
      </x:c>
      <x:c r="L15" s="3" t="str">
        <x:v>src/components/layout/main-header.tsx:45</x:v>
      </x:c>
      <x:c r="M15" s="3" t="str">
        <x:v>Đề xuất Integration | Test liên quan, chưa xác nhận phủ ca: src/components/layout/main-header.test.tsx</x:v>
      </x:c>
      <x:c r="N15" s="10" t="str">
        <x:v>Blocked</x:v>
      </x:c>
      <x:c r="O15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5" s="10" t="str">
        <x:v>execution/results.json → UI-011
execution/assertions.json</x:v>
      </x:c>
      <x:c r="Q15" s="10" t="str">
        <x:v>Codex — local automated QA</x:v>
      </x:c>
      <x:c r="R15" s="11"/>
    </x:row>
    <x:row r="16" ht="122" customHeight="1">
      <x:c r="A16" s="3" t="str">
        <x:v>UI-012</x:v>
      </x:c>
      <x:c r="B16" s="3" t="str">
        <x:v>Nút seller và currency</x:v>
      </x:c>
      <x:c r="C16" s="3" t="str">
        <x:v>P2</x:v>
      </x:c>
      <x:c r="D16" s="3" t="str">
        <x:v>UI.HEADER</x:v>
      </x:c>
      <x:c r="E16" s="3" t="str">
        <x:v>Functional</x:v>
      </x:c>
      <x:c r="F16" s="3" t="str">
        <x:v>Integration</x:v>
      </x:c>
      <x:c r="G16" s="3" t="str">
        <x:v>Decision required</x:v>
      </x:c>
      <x:c r="H16" s="3" t="str">
        <x:v>Browser thật ở 320/390/768/1280/1440; keyboard và screen reader khi nêu; UI fixture riêng với đúng providers; clock kiểm soát ở automation.</x:v>
      </x:c>
      <x:c r="I16" s="3" t="str">
        <x:v>Sell with us và SGD selector</x:v>
      </x:c>
      <x:c r="J16" s="3" t="str">
        <x:v>1. Click từng control.
2. Kiểm tra hành động.</x:v>
      </x:c>
      <x:c r="K16" s="3" t="str">
        <x:v>Cần PO xác nhận destination và hỗ trợ currency; không coi nút không handler là chức năng hoàn chỉnh.</x:v>
      </x:c>
      <x:c r="L16" s="3" t="str">
        <x:v>src/components/layout/main-header.tsx:45</x:v>
      </x:c>
      <x:c r="M16" s="3" t="str">
        <x:v>Đề xuất Integration | Test liên quan, chưa xác nhận phủ ca: src/components/layout/main-header.test.tsx</x:v>
      </x:c>
      <x:c r="N16" s="10" t="str">
        <x:v>Blocked</x:v>
      </x:c>
      <x:c r="O16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6" s="10" t="str">
        <x:v>execution/results.json → UI-012
execution/assertions.json</x:v>
      </x:c>
      <x:c r="Q16" s="10" t="str">
        <x:v>Codex — local automated QA</x:v>
      </x:c>
      <x:c r="R16" s="11"/>
    </x:row>
    <x:row r="17" ht="122" customHeight="1">
      <x:c r="A17" s="3" t="str">
        <x:v>UI-013</x:v>
      </x:c>
      <x:c r="B17" s="3" t="str">
        <x:v>Link và liên hệ footer</x:v>
      </x:c>
      <x:c r="C17" s="3" t="str">
        <x:v>P2</x:v>
      </x:c>
      <x:c r="D17" s="3" t="str">
        <x:v>UI.FOOTER</x:v>
      </x:c>
      <x:c r="E17" s="3" t="str">
        <x:v>Functional</x:v>
      </x:c>
      <x:c r="F17" s="3" t="str">
        <x:v>Integration</x:v>
      </x:c>
      <x:c r="G17" s="3" t="str">
        <x:v>Quality target</x:v>
      </x:c>
      <x:c r="H17" s="3" t="str">
        <x:v>Browser thật ở 320/390/768/1280/1440; keyboard và screen reader khi nêu; UI fixture riêng với đúng providers; clock kiểm soát ở automation.</x:v>
      </x:c>
      <x:c r="I17" s="3" t="str">
        <x:v>Mọi link footer, social #, tel/mailto</x:v>
      </x:c>
      <x:c r="J17" s="3" t="str">
        <x:v>1. Click links trong môi trường test không gửi message.
2. So target/label.</x:v>
      </x:c>
      <x:c r="K17" s="3" t="str">
        <x:v>Link nội bộ đến route/anchor có thật; tel/mailto đúng; social có URL thật và accessible name khớp biểu tượng. Placeholder # cần sửa/PO xác nhận.</x:v>
      </x:c>
      <x:c r="L17" s="3" t="str">
        <x:v>src/components/shared/site-footer.tsx:42</x:v>
      </x:c>
      <x:c r="M17" s="3" t="str">
        <x:v>Đề xuất Integration | Chưa có test đồng vị trí cho hành vi này</x:v>
      </x:c>
      <x:c r="N17" s="10" t="str">
        <x:v>Blocked</x:v>
      </x:c>
      <x:c r="O17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17" s="10" t="str">
        <x:v>execution/results.json → UI-013
execution/assertions.json</x:v>
      </x:c>
      <x:c r="Q17" s="10" t="str">
        <x:v>Codex — local automated QA</x:v>
      </x:c>
      <x:c r="R17" s="11"/>
    </x:row>
    <x:row r="18" ht="94" customHeight="1">
      <x:c r="A18" s="3" t="str">
        <x:v>UI-014</x:v>
      </x:c>
      <x:c r="B18" s="3" t="str">
        <x:v>Autoplay toàn bộ carousel nội dung</x:v>
      </x:c>
      <x:c r="C18" s="3" t="str">
        <x:v>P1</x:v>
      </x:c>
      <x:c r="D18" s="3" t="str">
        <x:v>UI.CAROUSEL</x:v>
      </x:c>
      <x:c r="E18" s="3" t="str">
        <x:v>Regression</x:v>
      </x:c>
      <x:c r="F18" s="3" t="str">
        <x:v>Browser</x:v>
      </x:c>
      <x:c r="G18" s="3" t="str">
        <x:v>User requirement</x:v>
      </x:c>
      <x:c r="H18" s="3" t="str">
        <x:v>Browser thật ở 320/390/768/1280/1440; keyboard và screen reader khi nêu; UI fixture riêng với đúng providers; clock kiểm soát ở automation.</x:v>
      </x:c>
      <x:c r="I18" s="3" t="str">
        <x:v>ProductCarousel, CategoryStrip, EditorialSection, TestimonialCarousel, ServiceGuarantees</x:v>
      </x:c>
      <x:c r="J18" s="3" t="str">
        <x:v>1. Với từng carousel có overflow, không thao tác trong5s.
2. Swipe/click next.
3. Quan sát chu kỳ tiếp.</x:v>
      </x:c>
      <x:c r="K18" s="3" t="str">
        <x:v>Tự advance theo cấu hình5000ms; manual vẫn dùng được; autoplay tiếp tục sau interaction; không bật timer dư khi rerender.</x:v>
      </x:c>
      <x:c r="L18" s="3" t="str">
        <x:v>src/components/ui/swiper-navigation.tsx:18
src/features/products/components/product-carousel.tsx:23
src/features/products/components/product-gallery.tsx:16</x:v>
      </x:c>
      <x:c r="M18" s="3" t="str">
        <x:v>Đề xuất Browser | Test liên quan, chưa xác nhận phủ ca: src/components/ui/swiper-navigation.test.tsx</x:v>
      </x:c>
      <x:c r="N18" s="10" t="str">
        <x:v>Pass</x:v>
      </x:c>
      <x:c r="O18" s="10" t="str">
        <x:v>Browser production local đã pass các bước ghi trong browser-results.json; dữ liệu là synthetic fixture.</x:v>
      </x:c>
      <x:c r="P18" s="10" t="str">
        <x:v>FIX-13
execution/results.json → UI-014
execution/browser-results.json
execution/assertions.json</x:v>
      </x:c>
      <x:c r="Q18" s="10" t="str">
        <x:v>Codex — local automated QA</x:v>
      </x:c>
      <x:c r="R18" s="11" t="d">
        <x:v>2026-10-18T05:30:31.999Z</x:v>
      </x:c>
    </x:row>
    <x:row r="19" ht="94" customHeight="1">
      <x:c r="A19" s="3" t="str">
        <x:v>UI-015</x:v>
      </x:c>
      <x:c r="B19" s="3" t="str">
        <x:v>Gallery có autoplay theo yêu cầu chung</x:v>
      </x:c>
      <x:c r="C19" s="3" t="str">
        <x:v>P1</x:v>
      </x:c>
      <x:c r="D19" s="3" t="str">
        <x:v>UI.CAROUSEL</x:v>
      </x:c>
      <x:c r="E19" s="3" t="str">
        <x:v>Regression</x:v>
      </x:c>
      <x:c r="F19" s="3" t="str">
        <x:v>Browser</x:v>
      </x:c>
      <x:c r="G19" s="3" t="str">
        <x:v>User requirement</x:v>
      </x:c>
      <x:c r="H19" s="3" t="str">
        <x:v>Browser thật ở 320/390/768/1280/1440; keyboard và screen reader khi nêu; UI fixture riêng với đúng providers; clock kiểm soát ở automation.</x:v>
      </x:c>
      <x:c r="I19" s="3" t="str">
        <x:v>PDP có&gt;=2 ảnh</x:v>
      </x:c>
      <x:c r="J19" s="3" t="str">
        <x:v>1. Mở product gallery.
2. Chờ &gt;5s rồi chọn thumbnail.</x:v>
      </x:c>
      <x:c r="K19" s="3" t="str">
        <x:v>Carousel ảnh phải có autoplay và đồng bộ thumbnail khi tự advance, đồng thời vẫn chọn/swipe tay.
Dependency / lưu ý: ProductGallery hiện không import Autoplay; yêu cầu autoplay toàn bộ carousel đã được user đặt.</x:v>
      </x:c>
      <x:c r="L19" s="3" t="str">
        <x:v>src/components/ui/swiper-navigation.tsx:18
src/features/products/components/product-carousel.tsx:23
src/features/products/components/product-gallery.tsx:16</x:v>
      </x:c>
      <x:c r="M19" s="3" t="str">
        <x:v>Đề xuất Browser | Test liên quan, chưa xác nhận phủ ca: src/components/ui/swiper-navigation.test.tsx</x:v>
      </x:c>
      <x:c r="N19" s="10" t="str">
        <x:v>Pass</x:v>
      </x:c>
      <x:c r="O19" s="10" t="str">
        <x:v>Browser production local đã pass các bước ghi trong browser-results.json; dữ liệu là synthetic fixture.</x:v>
      </x:c>
      <x:c r="P19" s="10" t="str">
        <x:v>FIX-13
execution/results.json → UI-015
execution/browser-results.json
execution/assertions.json</x:v>
      </x:c>
      <x:c r="Q19" s="10" t="str">
        <x:v>Codex — local automated QA</x:v>
      </x:c>
      <x:c r="R19" s="11" t="d">
        <x:v>2026-10-18T05:30:31.999Z</x:v>
      </x:c>
    </x:row>
    <x:row r="20" ht="94" customHeight="1">
      <x:c r="A20" s="3" t="str">
        <x:v>UI-016</x:v>
      </x:c>
      <x:c r="B20" s="3" t="str">
        <x:v>Pause/resume bằng keyboard và touch</x:v>
      </x:c>
      <x:c r="C20" s="3" t="str">
        <x:v>P1</x:v>
      </x:c>
      <x:c r="D20" s="3" t="str">
        <x:v>UI.CAROUSEL</x:v>
      </x:c>
      <x:c r="E20" s="3" t="str">
        <x:v>Accessibility</x:v>
      </x:c>
      <x:c r="F20" s="3" t="str">
        <x:v>Browser</x:v>
      </x:c>
      <x:c r="G20" s="3" t="str">
        <x:v>User requirement</x:v>
      </x:c>
      <x:c r="H20" s="3" t="str">
        <x:v>Browser thật ở 320/390/768/1280/1440; keyboard và screen reader khi nêu; UI fixture riêng với đúng providers; clock kiểm soát ở automation.</x:v>
      </x:c>
      <x:c r="I20" s="3" t="str">
        <x:v>Mọi carousel autoplay đang chạy</x:v>
      </x:c>
      <x:c r="J20" s="3" t="str">
        <x:v>1. Dùng Tab tới pause.
2. Pause, chờ&gt;2chu kỳ.
3. Swipe/next và resume.</x:v>
      </x:c>
      <x:c r="K20" s="3" t="str">
        <x:v>Có control pause/resume accessible; sau pause không tự chạy lại chỉ do focus/swipe; resume chủ động chạy lại; giữ manual navigation.
Dependency / lưu ý: BUG-20261007-009: source navigation chỉ có previous/next, hover chưa đủ pause accessible.</x:v>
      </x:c>
      <x:c r="L20" s="3" t="str">
        <x:v>src/components/ui/swiper-navigation.tsx:18
src/features/products/components/product-carousel.tsx:23
src/features/products/components/product-gallery.tsx:16</x:v>
      </x:c>
      <x:c r="M20" s="3" t="str">
        <x:v>Đề xuất Browser | Test liên quan, chưa xác nhận phủ ca: src/components/ui/swiper-navigation.test.tsx</x:v>
      </x:c>
      <x:c r="N20" s="10" t="str">
        <x:v>Not run</x:v>
      </x:c>
      <x:c r="O20" s="10" t="str">
        <x:v>MỘT PHẦN: Đã kiểm tra keyboard pause/resume, swipe và gallery focus trên Chromium; chưa chạy touch pause/resume trên thiết bị thật cho mọi carousel.</x:v>
      </x:c>
      <x:c r="P20" s="10" t="str">
        <x:v>FIX-13
execution/results.json → UI-016
execution/browser-results.json
execution/assertions.json</x:v>
      </x:c>
      <x:c r="Q20" s="10" t="str">
        <x:v>Codex — local automated QA</x:v>
      </x:c>
      <x:c r="R20" s="11" t="d">
        <x:v>2026-10-18T05:30:31.999Z</x:v>
      </x:c>
    </x:row>
    <x:row r="21" ht="94" customHeight="1">
      <x:c r="A21" s="3" t="str">
        <x:v>UI-017</x:v>
      </x:c>
      <x:c r="B21" s="3" t="str">
        <x:v>Hover và focus đọc nội dung</x:v>
      </x:c>
      <x:c r="C21" s="3" t="str">
        <x:v>P1</x:v>
      </x:c>
      <x:c r="D21" s="3" t="str">
        <x:v>UI.CAROUSEL</x:v>
      </x:c>
      <x:c r="E21" s="3" t="str">
        <x:v>Accessibility</x:v>
      </x:c>
      <x:c r="F21" s="3" t="str">
        <x:v>Browser</x:v>
      </x:c>
      <x:c r="G21" s="3" t="str">
        <x:v>Quality target</x:v>
      </x:c>
      <x:c r="H21" s="3" t="str">
        <x:v>Browser thật ở 320/390/768/1280/1440; keyboard và screen reader khi nêu; UI fixture riêng với đúng providers; clock kiểm soát ở automation.</x:v>
      </x:c>
      <x:c r="I21" s="3" t="str">
        <x:v>Multi-slide có link/button</x:v>
      </x:c>
      <x:c r="J21" s="3" t="str">
        <x:v>1. Hover và đọc.
2. Di chuyển bằng keyboard tới link trong slide.</x:v>
      </x:c>
      <x:c r="K21" s="3" t="str">
        <x:v>Hover pause theo source; focus không bị kéo khỏi nội dung vì autoplay. Cơ chế pause phải dùng được khi không có chuột.</x:v>
      </x:c>
      <x:c r="L21" s="3" t="str">
        <x:v>src/components/ui/swiper-navigation.tsx:18
src/features/products/components/product-carousel.tsx:23
src/features/products/components/product-gallery.tsx:16</x:v>
      </x:c>
      <x:c r="M21" s="3" t="str">
        <x:v>Đề xuất Browser | Test liên quan, chưa xác nhận phủ ca: src/components/ui/swiper-navigation.test.tsx</x:v>
      </x:c>
      <x:c r="N21" s="10" t="str">
        <x:v>Not run</x:v>
      </x:c>
      <x:c r="O21" s="10" t="str">
        <x:v>MỘT PHẦN: Focus thumbnail gallery dừng autoplay; chưa chạy đủ hover/focus cho mọi carousel.</x:v>
      </x:c>
      <x:c r="P21" s="10" t="str">
        <x:v>FIX-13
execution/results.json → UI-017
execution/browser-results.json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UI-018</x:v>
      </x:c>
      <x:c r="B22" s="3" t="str">
        <x:v>Reduced motion giữ quyền điều khiển</x:v>
      </x:c>
      <x:c r="C22" s="3" t="str">
        <x:v>P1</x:v>
      </x:c>
      <x:c r="D22" s="3" t="str">
        <x:v>UI.CAROUSEL</x:v>
      </x:c>
      <x:c r="E22" s="3" t="str">
        <x:v>Accessibility</x:v>
      </x:c>
      <x:c r="F22" s="3" t="str">
        <x:v>Browser</x:v>
      </x:c>
      <x:c r="G22" s="3" t="str">
        <x:v>Quality target</x:v>
      </x:c>
      <x:c r="H22" s="3" t="str">
        <x:v>Browser thật ở 320/390/768/1280/1440; keyboard và screen reader khi nêu; UI fixture riêng với đúng providers; clock kiểm soát ở automation.</x:v>
      </x:c>
      <x:c r="I22" s="3" t="str">
        <x:v>OS prefers-reduced-motion=reduce</x:v>
      </x:c>
      <x:c r="J22" s="3" t="str">
        <x:v>1. Reload với media preference.
2. Điều hướng/pause carousel.</x:v>
      </x:c>
      <x:c r="K22" s="3" t="str">
        <x:v>Giảm hiệu ứng chuyển động; có cách dừng autoplay; manual vẫn hoạt động. Không mặc định CSS reduced motion đã dừng timer JS.</x:v>
      </x:c>
      <x:c r="L22" s="3" t="str">
        <x:v>src/components/ui/swiper-navigation.tsx:18
src/features/products/components/product-carousel.tsx:23
src/features/products/components/product-gallery.tsx:16</x:v>
      </x:c>
      <x:c r="M22" s="3" t="str">
        <x:v>Đề xuất Browser | Test liên quan, chưa xác nhận phủ ca: src/components/ui/swiper-navigation.test.tsx</x:v>
      </x:c>
      <x:c r="N22" s="10" t="str">
        <x:v>Pass</x:v>
      </x:c>
      <x:c r="O22" s="10" t="str">
        <x:v>Browser production local đã pass các bước ghi trong browser-results.json; dữ liệu là synthetic fixture.</x:v>
      </x:c>
      <x:c r="P22" s="10" t="str">
        <x:v>FIX-13
execution/results.json → UI-018
execution/browser-results.json
execution/assertions.json</x:v>
      </x:c>
      <x:c r="Q22" s="10" t="str">
        <x:v>Codex — local automated QA</x:v>
      </x:c>
      <x:c r="R22" s="11" t="d">
        <x:v>2026-10-18T05:30:31.999Z</x:v>
      </x:c>
    </x:row>
    <x:row r="23" ht="94" customHeight="1">
      <x:c r="A23" s="3" t="str">
        <x:v>UI-019</x:v>
      </x:c>
      <x:c r="B23" s="3" t="str">
        <x:v>0/1 slide và không overflow</x:v>
      </x:c>
      <x:c r="C23" s="3" t="str">
        <x:v>P2</x:v>
      </x:c>
      <x:c r="D23" s="3" t="str">
        <x:v>UI.CAROUSEL</x:v>
      </x:c>
      <x:c r="E23" s="3" t="str">
        <x:v>Boundary</x:v>
      </x:c>
      <x:c r="F23" s="3" t="str">
        <x:v>Browser</x:v>
      </x:c>
      <x:c r="G23" s="3" t="str">
        <x:v>Source</x:v>
      </x:c>
      <x:c r="H23" s="3" t="str">
        <x:v>Browser thật ở 320/390/768/1280/1440; keyboard và screen reader khi nêu; UI fixture riêng với đúng providers; clock kiểm soát ở automation.</x:v>
      </x:c>
      <x:c r="I23" s="3" t="str">
        <x:v>Mỗi carousel với0,1 và ít hơn slidesPerView</x:v>
      </x:c>
      <x:c r="J23" s="3" t="str">
        <x:v>1. Render từng fixture.
2. Resize, thử controls.</x:v>
      </x:c>
      <x:c r="K23" s="3" t="str">
        <x:v>Không vòng lặp/cảnh báo làm hỏng UI; control disabled đúng; progress không NaN hoặc hiển thị0/0 gây nhầm.</x:v>
      </x:c>
      <x:c r="L23" s="3" t="str">
        <x:v>src/components/ui/swiper-navigation.tsx:18
src/features/products/components/product-carousel.tsx:23
src/features/products/components/product-gallery.tsx:16</x:v>
      </x:c>
      <x:c r="M23" s="3" t="str">
        <x:v>Đề xuất Browser | Test liên quan, chưa xác nhận phủ ca: src/components/ui/swiper-navigation.test.tsx</x:v>
      </x:c>
      <x:c r="N23" s="10" t="str">
        <x:v>Not run</x:v>
      </x:c>
      <x:c r="O23" s="10" t="str">
        <x:v>MỘT PHẦN: Đã kiểm tra một category và desktop all-slides-fit; chưa chạy trường hợp 0 slide trên mọi consumer.</x:v>
      </x:c>
      <x:c r="P23" s="10" t="str">
        <x:v>FIX-13
execution/results.json → UI-019
execution/browser-results.json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UI-020</x:v>
      </x:c>
      <x:c r="B24" s="3" t="str">
        <x:v>Label/error/disabled nhất quán</x:v>
      </x:c>
      <x:c r="C24" s="3" t="str">
        <x:v>P2</x:v>
      </x:c>
      <x:c r="D24" s="3" t="str">
        <x:v>UI.FORM</x:v>
      </x:c>
      <x:c r="E24" s="3" t="str">
        <x:v>Accessibility</x:v>
      </x:c>
      <x:c r="F24" s="3" t="str">
        <x:v>Integration</x:v>
      </x:c>
      <x:c r="G24" s="3" t="str">
        <x:v>Source</x:v>
      </x:c>
      <x:c r="H24" s="3" t="str">
        <x:v>Browser thật ở 320/390/768/1280/1440; keyboard và screen reader khi nêu; UI fixture riêng với đúng providers; clock kiểm soát ở automation.</x:v>
      </x:c>
      <x:c r="I24" s="3" t="str">
        <x:v>Form có Input, Checkbox, Select, CountrySelect</x:v>
      </x:c>
      <x:c r="J24" s="3" t="str">
        <x:v>1. Submit invalid.
2. Kiểm tra label association và screen reader.
3. Disable control.</x:v>
      </x:c>
      <x:c r="K24" s="3" t="str">
        <x:v>Accessible name, aria-invalid và describedby trỏ lỗi tồn tại; click label focus/toggle đúng control; disabled không submit ngoài ý muốn.</x:v>
      </x:c>
      <x:c r="L24" s="3" t="str">
        <x:v>src/components/ui/form.tsx:27</x:v>
      </x:c>
      <x:c r="M24" s="3" t="str">
        <x:v>Đề xuất Integration | Chưa có test đồng vị trí cho hành vi này</x:v>
      </x:c>
      <x:c r="N24" s="10" t="str">
        <x:v>Not run</x:v>
      </x:c>
      <x:c r="O24" s="10" t="str">
        <x:v>MỘT PHẦN: Có assertion keyboard, accessible labels và modal pending; chưa audit đầy đủ menu/form/dialog trong toàn ứng dụng.</x:v>
      </x:c>
      <x:c r="P24" s="10" t="str">
        <x:v>execution/results.json → UI-020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UI-021</x:v>
      </x:c>
      <x:c r="B25" s="3" t="str">
        <x:v>Focus trap và restore</x:v>
      </x:c>
      <x:c r="C25" s="3" t="str">
        <x:v>P2</x:v>
      </x:c>
      <x:c r="D25" s="3" t="str">
        <x:v>UI.DIALOG</x:v>
      </x:c>
      <x:c r="E25" s="3" t="str">
        <x:v>Accessibility</x:v>
      </x:c>
      <x:c r="F25" s="3" t="str">
        <x:v>Integration</x:v>
      </x:c>
      <x:c r="G25" s="3" t="str">
        <x:v>Source</x:v>
      </x:c>
      <x:c r="H25" s="3" t="str">
        <x:v>Browser thật ở 320/390/768/1280/1440; keyboard và screen reader khi nêu; UI fixture riêng với đúng providers; clock kiểm soát ở automation.</x:v>
      </x:c>
      <x:c r="I25" s="3" t="str">
        <x:v>Avatar dialog và một popover đại diện</x:v>
      </x:c>
      <x:c r="J25" s="3" t="str">
        <x:v>1. Keyboard mở.
2. Tab/ShiftTab hết vòng.
3. Escape/Cancel.</x:v>
      </x:c>
      <x:c r="K25" s="3" t="str">
        <x:v>Dialog focus không thoát modal, Escape đóng khi được phép và restore; popover không trap như modal nếu contract non-modal.</x:v>
      </x:c>
      <x:c r="L25" s="3" t="str">
        <x:v>src/components/ui/form.tsx:27</x:v>
      </x:c>
      <x:c r="M25" s="3" t="str">
        <x:v>Đề xuất Integration | Chưa có test đồng vị trí cho hành vi này</x:v>
      </x:c>
      <x:c r="N25" s="10" t="str">
        <x:v>Not run</x:v>
      </x:c>
      <x:c r="O25" s="10" t="str">
        <x:v>MỘT PHẦN: Có assertion keyboard, accessible labels và modal pending; chưa audit đầy đủ menu/form/dialog trong toàn ứng dụng.</x:v>
      </x:c>
      <x:c r="P25" s="10" t="str">
        <x:v>execution/results.json → UI-021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UI-022</x:v>
      </x:c>
      <x:c r="B26" s="3" t="str">
        <x:v>DatePicker shared contract</x:v>
      </x:c>
      <x:c r="C26" s="3" t="str">
        <x:v>P3</x:v>
      </x:c>
      <x:c r="D26" s="3" t="str">
        <x:v>UI.DATE</x:v>
      </x:c>
      <x:c r="E26" s="3" t="str">
        <x:v>Boundary</x:v>
      </x:c>
      <x:c r="F26" s="3" t="str">
        <x:v>Component</x:v>
      </x:c>
      <x:c r="G26" s="3" t="str">
        <x:v>Source</x:v>
      </x:c>
      <x:c r="H26" s="3" t="str">
        <x:v>Browser thật ở 320/390/768/1280/1440; keyboard và screen reader khi nêu; UI fixture riêng với đúng providers; clock kiểm soát ở automation.</x:v>
      </x:c>
      <x:c r="I26" s="3" t="str">
        <x:v>fromDate10/01,toDate10/31; selected undefined/10/15</x:v>
      </x:c>
      <x:c r="J26" s="3" t="str">
        <x:v>1. Render primitive fixture (chưa có consumer nghiệp vụ).
2. Chọn các ngày biên và ngoài range.</x:v>
      </x:c>
      <x:c r="K26" s="3" t="str">
        <x:v>Ngày biên chọn được, ngoài range disabled; onChange đúng Date/undefined; keyboard lịch dùng được; mặc định format vi-VN theo source.</x:v>
      </x:c>
      <x:c r="L26" s="3" t="str">
        <x:v>src/components/ui/date-picker.tsx:29</x:v>
      </x:c>
      <x:c r="M26" s="3" t="str">
        <x:v>Đề xuất Component | Chưa có test đồng vị trí cho hành vi này</x:v>
      </x:c>
      <x:c r="N26" s="10" t="str">
        <x:v>Not run</x:v>
      </x:c>
      <x:c r="O26" s="10" t="str">
        <x:v>Chưa thực thi đầy đủ các bước/expected của ca. Chưa có automation hoặc bằng chứng chạy ca tương ứng.</x:v>
      </x:c>
      <x:c r="P26" s="10" t="str">
        <x:v>execution/results.json → UI-022
execution/assertions.json</x:v>
      </x:c>
      <x:c r="Q26" s="10" t="str"/>
      <x:c r="R26" s="11"/>
    </x:row>
    <x:row r="27" ht="94" customHeight="1">
      <x:c r="A27" s="3" t="str">
        <x:v>UI-023</x:v>
      </x:c>
      <x:c r="B27" s="3" t="str">
        <x:v>Reflow, zoom và focus visible</x:v>
      </x:c>
      <x:c r="C27" s="3" t="str">
        <x:v>P2</x:v>
      </x:c>
      <x:c r="D27" s="3" t="str">
        <x:v>UI.LAYOUT</x:v>
      </x:c>
      <x:c r="E27" s="3" t="str">
        <x:v>Accessibility</x:v>
      </x:c>
      <x:c r="F27" s="3" t="str">
        <x:v>Manual</x:v>
      </x:c>
      <x:c r="G27" s="3" t="str">
        <x:v>Source</x:v>
      </x:c>
      <x:c r="H27" s="3" t="str">
        <x:v>Browser thật ở 320/390/768/1280/1440; keyboard và screen reader khi nêu; UI fixture riêng với đúng providers; clock kiểm soát ở automation.</x:v>
      </x:c>
      <x:c r="I27" s="3" t="str">
        <x:v>320px; zoom200%/400%; desktop và mobile</x:v>
      </x:c>
      <x:c r="J27" s="3" t="str">
        <x:v>1. Đi hết form/cart/detail/news.
2. Zoom và Tab.</x:v>
      </x:c>
      <x:c r="K27" s="3" t="str">
        <x:v>Không mất CTA/lỗi, chữ không đè/tràn toàn trang; focus visible; target dùng được; bảng có vùng cuộn khi cần.</x:v>
      </x:c>
      <x:c r="L27" s="3" t="str">
        <x:v>src/components/layout/main-header.tsx:45
src/components/ui/form.tsx:27</x:v>
      </x:c>
      <x:c r="M27" s="3" t="str">
        <x:v>Đề xuất Manual | Test liên quan, chưa xác nhận phủ ca: src/components/layout/main-header.test.tsx</x:v>
      </x:c>
      <x:c r="N27" s="10" t="str">
        <x:v>Blocked</x:v>
      </x:c>
      <x:c r="O27" s="10" t="str">
        <x:v>Chưa có kết quả kiểm tra thủ công đầy đủ trên thiết bị/assistive technology và ma trận contrast/zoom của môi trường đích. Browser automation hiện tại không thay chứng nhận WCAG.</x:v>
      </x:c>
      <x:c r="P27" s="10" t="str">
        <x:v>execution/results.json → UI-023
execution/assertions.json</x:v>
      </x:c>
      <x:c r="Q27" s="10" t="str">
        <x:v>Codex — local automated QA</x:v>
      </x:c>
      <x:c r="R27" s="11"/>
    </x:row>
    <x:row r="28" ht="94" customHeight="1">
      <x:c r="A28" s="3" t="str">
        <x:v>UI-024</x:v>
      </x:c>
      <x:c r="B28" s="3" t="str">
        <x:v>Tương phản, tên và thông báo</x:v>
      </x:c>
      <x:c r="C28" s="3" t="str">
        <x:v>P2</x:v>
      </x:c>
      <x:c r="D28" s="3" t="str">
        <x:v>UI.A11Y</x:v>
      </x:c>
      <x:c r="E28" s="3" t="str">
        <x:v>Accessibility</x:v>
      </x:c>
      <x:c r="F28" s="3" t="str">
        <x:v>Manual</x:v>
      </x:c>
      <x:c r="G28" s="3" t="str">
        <x:v>Source</x:v>
      </x:c>
      <x:c r="H28" s="3" t="str">
        <x:v>Browser thật ở 320/390/768/1280/1440; keyboard và screen reader khi nêu; UI fixture riêng với đúng providers; clock kiểm soát ở automation.</x:v>
      </x:c>
      <x:c r="I28" s="3" t="str">
        <x:v>Header, disabled, errors, status badges, image alt</x:v>
      </x:c>
      <x:c r="J28" s="3" t="str">
        <x:v>1. Dùng contrast checker và screen reader.
2. Gây loading/error/success.</x:v>
      </x:c>
      <x:c r="K28" s="3" t="str">
        <x:v>Theo mục tiêu WCAG2.2AA của repository: nội dung đọc được, trạng thái không chỉ màu; async Alert/status được announce, ảnh trang trí không đọc dư.</x:v>
      </x:c>
      <x:c r="L28" s="3" t="str">
        <x:v>src/components/layout/main-header.tsx:45
src/components/ui/form.tsx:27</x:v>
      </x:c>
      <x:c r="M28" s="3" t="str">
        <x:v>Đề xuất Manual | Test liên quan, chưa xác nhận phủ ca: src/components/layout/main-header.test.tsx</x:v>
      </x:c>
      <x:c r="N28" s="10" t="str">
        <x:v>Blocked</x:v>
      </x:c>
      <x:c r="O28" s="10" t="str">
        <x:v>Chưa có kết quả kiểm tra thủ công đầy đủ trên thiết bị/assistive technology và ma trận contrast/zoom của môi trường đích. Browser automation hiện tại không thay chứng nhận WCAG.</x:v>
      </x:c>
      <x:c r="P28" s="10" t="str">
        <x:v>execution/results.json → UI-024
execution/assertions.json</x:v>
      </x:c>
      <x:c r="Q28" s="10" t="str">
        <x:v>Codex — local automated QA</x:v>
      </x:c>
      <x:c r="R28" s="11"/>
    </x:row>
  </x:sheetData>
  <x:conditionalFormatting sqref="N5:N28">
    <x:cfRule type="containsText" dxfId="39" priority="1" operator="containsText" text="Fail"/>
    <x:cfRule type="containsText" dxfId="40" priority="2" operator="containsText" text="Blocked"/>
  </x:conditionalFormatting>
  <x:conditionalFormatting sqref="C5:C28">
    <x:cfRule type="containsText" dxfId="41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78dc386f554f4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SYS — HTTP, session, cache và độ tin cậy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SYS-001</x:v>
      </x:c>
      <x:c r="B5" s="3" t="str">
        <x:v>Bearer và endpoint public</x:v>
      </x:c>
      <x:c r="C5" s="3" t="str">
        <x:v>P0</x:v>
      </x:c>
      <x:c r="D5" s="3" t="str">
        <x:v>SYS.AUTH</x:v>
      </x:c>
      <x:c r="E5" s="3" t="str">
        <x:v>Contract</x:v>
      </x:c>
      <x:c r="F5" s="3" t="str">
        <x:v>Unit</x:v>
      </x:c>
      <x:c r="G5" s="3" t="str">
        <x:v>Source</x:v>
      </x:c>
      <x:c r="H5" s="3" t="str">
        <x:v>Clock/network có kiểm soát; DS-AUTH A/B; HTTP adapter/mock fetch hoặc sandbox. Không dùng token/PII thật trong fixture, log hay tài liệu.</x:v>
      </x:c>
      <x:c r="I5" s="3" t="str">
        <x:v>UserA token; /me/profile,/cart,/orders,/rfqs và auth public</x:v>
      </x:c>
      <x:c r="J5" s="3" t="str">
        <x:v>1. Gọi request private/public.
2. Đọc headers mock.</x:v>
      </x:c>
      <x:c r="K5" s="3" t="str">
        <x:v>Private có Authorization Bearer; login/refresh/signup/forgot-password và client/categories không tự gắn access token; server/categories có token theo policy riêng.</x:v>
      </x:c>
      <x:c r="L5" s="3" t="str">
        <x:v>src/lib/http-client.ts:12</x:v>
      </x:c>
      <x:c r="M5" s="3" t="str">
        <x:v>Đề xuất Unit | Test liên quan, chưa xác nhận phủ ca: src/lib/http-client.test.ts</x:v>
      </x:c>
      <x:c r="N5" s="10" t="str">
        <x:v>Pass</x:v>
      </x:c>
      <x:c r="O5" s="10" t="str">
        <x:v>Transport/session/cookie restore/cache hoặc cấu hình tương ứng đã pass bằng adapter/cookie/fetch mock deterministic.</x:v>
      </x:c>
      <x:c r="P5" s="10" t="str">
        <x:v>execution/results.json → SYS-001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SYS-002</x:v>
      </x:c>
      <x:c r="B6" s="3" t="str">
        <x:v>401 đồng thời single flight</x:v>
      </x:c>
      <x:c r="C6" s="3" t="str">
        <x:v>P0</x:v>
      </x:c>
      <x:c r="D6" s="3" t="str">
        <x:v>SYS.REFRESH</x:v>
      </x:c>
      <x:c r="E6" s="3" t="str">
        <x:v>Concurrency</x:v>
      </x:c>
      <x:c r="F6" s="3" t="str">
        <x:v>Integration</x:v>
      </x:c>
      <x:c r="G6" s="3" t="str">
        <x:v>Source</x:v>
      </x:c>
      <x:c r="H6" s="3" t="str">
        <x:v>Clock/network có kiểm soát; DS-AUTH A/B; HTTP adapter/mock fetch hoặc sandbox. Không dùng token/PII thật trong fixture, log hay tài liệu.</x:v>
      </x:c>
      <x:c r="I6" s="3" t="str">
        <x:v>2 private requests401; refresh trả token mới</x:v>
      </x:c>
      <x:c r="J6" s="3" t="str">
        <x:v>1. Gửi song song.
2. Resolve refresh rồi retry.</x:v>
      </x:c>
      <x:c r="K6" s="3" t="str">
        <x:v>Chỉ1 POST /auth/refresh với refreshToken; cả hai retry với access mới; token cập nhật; không lặp vô hạn.</x:v>
      </x:c>
      <x:c r="L6" s="3" t="str">
        <x:v>src/lib/http-client.ts:12
src/lib/auth-token-store.ts:5</x:v>
      </x:c>
      <x:c r="M6" s="3" t="str">
        <x:v>Đề xuất Integration | Test liên quan, chưa xác nhận phủ ca: src/lib/http-client.test.ts, src/lib/auth-token-store.test.ts</x:v>
      </x:c>
      <x:c r="N6" s="10" t="str">
        <x:v>Pass</x:v>
      </x:c>
      <x:c r="O6" s="10" t="str">
        <x:v>Transport/session/cookie restore/cache hoặc cấu hình tương ứng đã pass bằng adapter/cookie/fetch mock deterministic.</x:v>
      </x:c>
      <x:c r="P6" s="10" t="str">
        <x:v>execution/results.json → SYS-002
execution/assertions.json</x:v>
      </x:c>
      <x:c r="Q6" s="10" t="str">
        <x:v>Codex — local automated QA</x:v>
      </x:c>
      <x:c r="R6" s="11" t="d">
        <x:v>2026-10-18T05:30:31.999Z</x:v>
      </x:c>
    </x:row>
    <x:row r="7" ht="106" customHeight="1">
      <x:c r="A7" s="3" t="str">
        <x:v>SYS-003</x:v>
      </x:c>
      <x:c r="B7" s="3" t="str">
        <x:v>Refresh thất bại hoặc token response sai</x:v>
      </x:c>
      <x:c r="C7" s="3" t="str">
        <x:v>P0</x:v>
      </x:c>
      <x:c r="D7" s="3" t="str">
        <x:v>SYS.REFRESH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Clock/network có kiểm soát; DS-AUTH A/B; HTTP adapter/mock fetch hoặc sandbox. Không dùng token/PII thật trong fixture, log hay tài liệu.</x:v>
      </x:c>
      <x:c r="I7" s="3" t="str">
        <x:v>refresh401/500/malformed</x:v>
      </x:c>
      <x:c r="J7" s="3" t="str">
        <x:v>1. Gây private401.
2. Reject refresh.</x:v>
      </x:c>
      <x:c r="K7" s="3" t="str">
        <x:v>Xóa token/cookie và private cache; request caller reject; không phát request lặp để giữ session giả.</x:v>
      </x:c>
      <x:c r="L7" s="3" t="str">
        <x:v>src/lib/http-client.ts:12
src/lib/auth-token-store.ts:5</x:v>
      </x:c>
      <x:c r="M7" s="3" t="str">
        <x:v>Đề xuất Integration | Test liên quan, chưa xác nhận phủ ca: src/lib/http-client.test.ts, src/lib/auth-token-store.test.ts</x:v>
      </x:c>
      <x:c r="N7" s="10" t="str">
        <x:v>Not run</x:v>
      </x:c>
      <x:c r="O7" s="10" t="str">
        <x:v>MỘT PHẦN: Đã kiểm tra các phần race/error/cache liên quan và không có runtime error ở browser run; chưa có đủ assertions cho mọi retry/abort/cross-user/throttle/logging condition trong ca.</x:v>
      </x:c>
      <x:c r="P7" s="10" t="str">
        <x:v>execution/results.json → SYS-003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SYS-004</x:v>
      </x:c>
      <x:c r="B8" s="3" t="str">
        <x:v>Request retry vẫn401</x:v>
      </x:c>
      <x:c r="C8" s="3" t="str">
        <x:v>P0</x:v>
      </x:c>
      <x:c r="D8" s="3" t="str">
        <x:v>SYS.REFRESH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Clock/network có kiểm soát; DS-AUTH A/B; HTTP adapter/mock fetch hoặc sandbox. Không dùng token/PII thật trong fixture, log hay tài liệu.</x:v>
      </x:c>
      <x:c r="I8" s="3" t="str">
        <x:v>Refresh success, protected retry401</x:v>
      </x:c>
      <x:c r="J8" s="3" t="str">
        <x:v>1. Gọi protected request.
2. Cho cả original/retry401.</x:v>
      </x:c>
      <x:c r="K8" s="3" t="str">
        <x:v>Không refresh tiếp cho cùng request; clear session; không loop.</x:v>
      </x:c>
      <x:c r="L8" s="3" t="str">
        <x:v>src/lib/http-client.ts:12
src/lib/auth-token-store.ts:5</x:v>
      </x:c>
      <x:c r="M8" s="3" t="str">
        <x:v>Đề xuất Integration | Test liên quan, chưa xác nhận phủ ca: src/lib/http-client.test.ts, src/lib/auth-token-store.test.ts</x:v>
      </x:c>
      <x:c r="N8" s="10" t="str">
        <x:v>Pass</x:v>
      </x:c>
      <x:c r="O8" s="10" t="str">
        <x:v>Transport/session/cookie restore/cache hoặc cấu hình tương ứng đã pass bằng adapter/cookie/fetch mock deterministic.</x:v>
      </x:c>
      <x:c r="P8" s="10" t="str">
        <x:v>FIX-05
execution/results.json → SYS-004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SYS-005</x:v>
      </x:c>
      <x:c r="B9" s="3" t="str">
        <x:v>Public401 không làm refresh/logout phiên đang có</x:v>
      </x:c>
      <x:c r="C9" s="3" t="str">
        <x:v>P1</x:v>
      </x:c>
      <x:c r="D9" s="3" t="str">
        <x:v>SYS.REFRESH</x:v>
      </x:c>
      <x:c r="E9" s="3" t="str">
        <x:v>Contract</x:v>
      </x:c>
      <x:c r="F9" s="3" t="str">
        <x:v>Integration</x:v>
      </x:c>
      <x:c r="G9" s="3" t="str">
        <x:v>Source</x:v>
      </x:c>
      <x:c r="H9" s="3" t="str">
        <x:v>Clock/network có kiểm soát; DS-AUTH A/B; HTTP adapter/mock fetch hoặc sandbox. Không dùng token/PII thật trong fixture, log hay tài liệu.</x:v>
      </x:c>
      <x:c r="I9" s="3" t="str">
        <x:v>UserA đăng nhập; signup/forgot/login trả401</x:v>
      </x:c>
      <x:c r="J9" s="3" t="str">
        <x:v>1. Gọi từng public endpoint401.</x:v>
      </x:c>
      <x:c r="K9" s="3" t="str">
        <x:v>Không refresh; phiên A không bị xóa chỉ vì lỗi public auth flow; private401 không refreshToken phải clear.</x:v>
      </x:c>
      <x:c r="L9" s="3" t="str">
        <x:v>src/lib/http-client.ts:12
src/lib/auth-token-store.ts:5</x:v>
      </x:c>
      <x:c r="M9" s="3" t="str">
        <x:v>Đề xuất Integration | Test liên quan, chưa xác nhận phủ ca: src/lib/http-client.test.ts, src/lib/auth-token-store.test.ts</x:v>
      </x:c>
      <x:c r="N9" s="10" t="str">
        <x:v>Pass</x:v>
      </x:c>
      <x:c r="O9" s="10" t="str">
        <x:v>Transport/session/cookie restore/cache hoặc cấu hình tương ứng đã pass bằng adapter/cookie/fetch mock deterministic.</x:v>
      </x:c>
      <x:c r="P9" s="10" t="str">
        <x:v>FIX-05
execution/results.json → SYS-005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SYS-006</x:v>
      </x:c>
      <x:c r="B10" s="3" t="str">
        <x:v>Logout trong khi refresh pending</x:v>
      </x:c>
      <x:c r="C10" s="3" t="str">
        <x:v>P0</x:v>
      </x:c>
      <x:c r="D10" s="3" t="str">
        <x:v>SYS.LOGOUT</x:v>
      </x:c>
      <x:c r="E10" s="3" t="str">
        <x:v>Concurrency</x:v>
      </x:c>
      <x:c r="F10" s="3" t="str">
        <x:v>Integration</x:v>
      </x:c>
      <x:c r="G10" s="3" t="str">
        <x:v>Security target</x:v>
      </x:c>
      <x:c r="H10" s="3" t="str">
        <x:v>Clock/network có kiểm soát; DS-AUTH A/B; HTTP adapter/mock fetch hoặc sandbox. Không dùng token/PII thật trong fixture, log hay tài liệu.</x:v>
      </x:c>
      <x:c r="I10" s="3" t="str">
        <x:v>Refresh chưa resolve; user logout trước</x:v>
      </x:c>
      <x:c r="J10" s="3" t="str">
        <x:v>1. Gây401 và giữ refresh.
2. Logout.
3. Resolve refresh thành công.</x:v>
      </x:c>
      <x:c r="K10" s="3" t="str">
        <x:v>Response cũ không phục hồi token sau logout hoặc tạo phiên lại; giữ unauthenticated.</x:v>
      </x:c>
      <x:c r="L10" s="3" t="str">
        <x:v>src/lib/http-client.ts:12
src/features/auth/api/use-logout-mutation.ts:6</x:v>
      </x:c>
      <x:c r="M10" s="3" t="str">
        <x:v>Đề xuất Integration | Test liên quan, chưa xác nhận phủ ca: src/lib/http-client.test.ts</x:v>
      </x:c>
      <x:c r="N10" s="10" t="str">
        <x:v>Pass</x:v>
      </x:c>
      <x:c r="O10" s="10" t="str">
        <x:v>Transport/session/cookie restore/cache hoặc cấu hình tương ứng đã pass bằng adapter/cookie/fetch mock deterministic.</x:v>
      </x:c>
      <x:c r="P10" s="10" t="str">
        <x:v>FIX-04
execution/results.json → SYS-006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SYS-007</x:v>
      </x:c>
      <x:c r="B11" s="3" t="str">
        <x:v>Cookie restore tab mới</x:v>
      </x:c>
      <x:c r="C11" s="3" t="str">
        <x:v>P1</x:v>
      </x:c>
      <x:c r="D11" s="3" t="str">
        <x:v>SYS.SESSION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Clock/network có kiểm soát; DS-AUTH A/B; HTTP adapter/mock fetch hoặc sandbox. Không dùng token/PII thật trong fixture, log hay tài liệu.</x:v>
      </x:c>
      <x:c r="I11" s="3" t="str">
        <x:v>4 cookies hợp lệ</x:v>
      </x:c>
      <x:c r="J11" s="3" t="str">
        <x:v>1. Login.
2. Mở module/tab mới cùng session browser.</x:v>
      </x:c>
      <x:c r="K11" s="3" t="str">
        <x:v>Khôi phục token/session metadata; profile fetch mới khi cache RAM mới; không persist PII profile vào storage.</x:v>
      </x:c>
      <x:c r="L11" s="3" t="str">
        <x:v>src/lib/auth-token-store.ts:5
src/lib/server-api-request.ts:30</x:v>
      </x:c>
      <x:c r="M11" s="3" t="str">
        <x:v>Đề xuất Integration | Test liên quan, chưa xác nhận phủ ca: src/lib/auth-token-store.test.ts, src/lib/server-api-request.test.ts</x:v>
      </x:c>
      <x:c r="N11" s="10" t="str">
        <x:v>Pass</x:v>
      </x:c>
      <x:c r="O11" s="10" t="str">
        <x:v>Transport/session/cookie restore/cache hoặc cấu hình tương ứng đã pass bằng adapter/cookie/fetch mock deterministic.</x:v>
      </x:c>
      <x:c r="P11" s="10" t="str">
        <x:v>execution/results.json → SYS-007
execution/assertions.json</x:v>
      </x:c>
      <x:c r="Q11" s="10" t="str">
        <x:v>Codex — local automated QA</x:v>
      </x:c>
      <x:c r="R11" s="11" t="d">
        <x:v>2026-10-18T05:30:31.999Z</x:v>
      </x:c>
    </x:row>
    <x:row r="12" ht="106" customHeight="1">
      <x:c r="A12" s="3" t="str">
        <x:v>SYS-008</x:v>
      </x:c>
      <x:c r="B12" s="3" t="str">
        <x:v>Cookie thiếu/sai/encoding độc hại</x:v>
      </x:c>
      <x:c r="C12" s="3" t="str">
        <x:v>P1</x:v>
      </x:c>
      <x:c r="D12" s="3" t="str">
        <x:v>SYS.SESSION</x:v>
      </x:c>
      <x:c r="E12" s="3" t="str">
        <x:v>Security</x:v>
      </x:c>
      <x:c r="F12" s="3" t="str">
        <x:v>Unit</x:v>
      </x:c>
      <x:c r="G12" s="3" t="str">
        <x:v>Source</x:v>
      </x:c>
      <x:c r="H12" s="3" t="str">
        <x:v>Clock/network có kiểm soát; DS-AUTH A/B; HTTP adapter/mock fetch hoặc sandbox. Không dùng token/PII thật trong fixture, log hay tài liệu.</x:v>
      </x:c>
      <x:c r="I12" s="3" t="str">
        <x:v>Thiếu1cookie; expiresAt sai; boolean sai; %encoding sai; CRLF</x:v>
      </x:c>
      <x:c r="J12" s="3" t="str">
        <x:v>1. Seed fixture cookie.
2. Đọc session và server request init.</x:v>
      </x:c>
      <x:c r="K12" s="3" t="str">
        <x:v>Malformed cookie không crash, không tạo Authorization header injection; client clear bộ cookie không hợp lệ; server bỏ token CRLF.</x:v>
      </x:c>
      <x:c r="L12" s="3" t="str">
        <x:v>src/lib/auth-token-store.ts:5
src/lib/server-api-request.ts:30</x:v>
      </x:c>
      <x:c r="M12" s="3" t="str">
        <x:v>Đề xuất Unit | Test liên quan, chưa xác nhận phủ ca: src/lib/auth-token-store.test.ts, src/lib/server-api-request.test.ts</x:v>
      </x:c>
      <x:c r="N12" s="10" t="str">
        <x:v>Not run</x:v>
      </x:c>
      <x:c r="O12" s="10" t="str">
        <x:v>MỘT PHẦN: Đã kiểm tra các phần race/error/cache liên quan và không có runtime error ở browser run; chưa có đủ assertions cho mọi retry/abort/cross-user/throttle/logging condition trong ca.</x:v>
      </x:c>
      <x:c r="P12" s="10" t="str">
        <x:v>execution/results.json → SYS-008
execution/assertions.json</x:v>
      </x:c>
      <x:c r="Q12" s="10" t="str">
        <x:v>Codex — local automated QA</x:v>
      </x:c>
      <x:c r="R12" s="11" t="d">
        <x:v>2026-10-18T05:30:31.999Z</x:v>
      </x:c>
    </x:row>
    <x:row r="13" ht="106" customHeight="1">
      <x:c r="A13" s="3" t="str">
        <x:v>SYS-009</x:v>
      </x:c>
      <x:c r="B13" s="3" t="str">
        <x:v>Cookie HTTPS và logout cleanup</x:v>
      </x:c>
      <x:c r="C13" s="3" t="str">
        <x:v>P1</x:v>
      </x:c>
      <x:c r="D13" s="3" t="str">
        <x:v>SYS.SESSION</x:v>
      </x:c>
      <x:c r="E13" s="3" t="str">
        <x:v>Contract</x:v>
      </x:c>
      <x:c r="F13" s="3" t="str">
        <x:v>Browser</x:v>
      </x:c>
      <x:c r="G13" s="3" t="str">
        <x:v>Source</x:v>
      </x:c>
      <x:c r="H13" s="3" t="str">
        <x:v>Clock/network có kiểm soát; DS-AUTH A/B; HTTP adapter/mock fetch hoặc sandbox. Không dùng token/PII thật trong fixture, log hay tài liệu.</x:v>
      </x:c>
      <x:c r="I13" s="3" t="str">
        <x:v>HTTP local và HTTPS sandbox</x:v>
      </x:c>
      <x:c r="J13" s="3" t="str">
        <x:v>1. Login.
2. Đọc thuộc tính cookies.
3. Logout.</x:v>
      </x:c>
      <x:c r="K13" s="3" t="str">
        <x:v>Path=/; SameSite=Lax; HTTPS có Secure; không MaxAge persistent khi tạo; logout xóa cả4. HttpOnly chưa có vì client ghi cookie.</x:v>
      </x:c>
      <x:c r="L13" s="3" t="str">
        <x:v>src/lib/auth-token-store.ts:5
src/lib/server-api-request.ts:30</x:v>
      </x:c>
      <x:c r="M13" s="3" t="str">
        <x:v>Đề xuất Browser | Test liên quan, chưa xác nhận phủ ca: src/lib/auth-token-store.test.ts, src/lib/server-api-request.test.ts</x:v>
      </x:c>
      <x:c r="N13" s="10" t="str">
        <x:v>Blocked</x:v>
      </x:c>
      <x:c r="O13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13" s="10" t="str">
        <x:v>execution/results.json → SYS-009
execution/assertions.json</x:v>
      </x:c>
      <x:c r="Q13" s="10" t="str">
        <x:v>Codex — local automated QA</x:v>
      </x:c>
      <x:c r="R13" s="11"/>
    </x:row>
    <x:row r="14" ht="106" customHeight="1">
      <x:c r="A14" s="3" t="str">
        <x:v>SYS-010</x:v>
      </x:c>
      <x:c r="B14" s="3" t="str">
        <x:v>HttpOnly là mục tiêu cần backend</x:v>
      </x:c>
      <x:c r="C14" s="3" t="str">
        <x:v>P1</x:v>
      </x:c>
      <x:c r="D14" s="3" t="str">
        <x:v>SYS.SESSION</x:v>
      </x:c>
      <x:c r="E14" s="3" t="str">
        <x:v>Security</x:v>
      </x:c>
      <x:c r="F14" s="3" t="str">
        <x:v>Integration</x:v>
      </x:c>
      <x:c r="G14" s="3" t="str">
        <x:v>Existing bug</x:v>
      </x:c>
      <x:c r="H14" s="3" t="str">
        <x:v>Clock/network có kiểm soát; DS-AUTH A/B; HTTP adapter/mock fetch hoặc sandbox. Không dùng token/PII thật trong fixture, log hay tài liệu.</x:v>
      </x:c>
      <x:c r="I14" s="3" t="str">
        <x:v>Cookie access/refresh hiện JS-readable</x:v>
      </x:c>
      <x:c r="J14" s="3" t="str">
        <x:v>1. Kiểm tra cookie production-like.
2. Đối chiếu kiến trúc BFF/Set-Cookie nếu được triển khai.</x:v>
      </x:c>
      <x:c r="K14" s="3" t="str">
        <x:v>Nếu chuyển HttpOnly: token không đọc bằng JS và vẫn login/refresh/logout được. Trạng thái hiện tại phải ghi residual risk, không đánh Pass HttpOnly.
Dependency / lưu ý: BUG-20261007-005, cần backend/BFF; không sửa bằng xóa chức năng restore.</x:v>
      </x:c>
      <x:c r="L14" s="3" t="str">
        <x:v>src/lib/auth-token-store.ts:5
src/lib/server-api-request.ts:30</x:v>
      </x:c>
      <x:c r="M14" s="3" t="str">
        <x:v>Đề xuất Integration | Test liên quan, chưa xác nhận phủ ca: src/lib/auth-token-store.test.ts, src/lib/server-api-request.test.ts</x:v>
      </x:c>
      <x:c r="N14" s="10" t="str">
        <x:v>Blocked</x:v>
      </x:c>
      <x:c r="O14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14" s="10" t="str">
        <x:v>execution/results.json → SYS-010
execution/assertions.json</x:v>
      </x:c>
      <x:c r="Q14" s="10" t="str">
        <x:v>Codex — local automated QA</x:v>
      </x:c>
      <x:c r="R14" s="11"/>
    </x:row>
    <x:row r="15" ht="106" customHeight="1">
      <x:c r="A15" s="3" t="str">
        <x:v>SYS-011</x:v>
      </x:c>
      <x:c r="B15" s="3" t="str">
        <x:v>Session expiry theo thời gian</x:v>
      </x:c>
      <x:c r="C15" s="3" t="str">
        <x:v>P1</x:v>
      </x:c>
      <x:c r="D15" s="3" t="str">
        <x:v>SYS.SESSION</x:v>
      </x:c>
      <x:c r="E15" s="3" t="str">
        <x:v>Reliability</x:v>
      </x:c>
      <x:c r="F15" s="3" t="str">
        <x:v>Integration</x:v>
      </x:c>
      <x:c r="G15" s="3" t="str">
        <x:v>Source</x:v>
      </x:c>
      <x:c r="H15" s="3" t="str">
        <x:v>Clock/network có kiểm soát; DS-AUTH A/B; HTTP adapter/mock fetch hoặc sandbox. Không dùng token/PII thật trong fixture, log hay tài liệu.</x:v>
      </x:c>
      <x:c r="I15" s="3" t="str">
        <x:v>expiresAt quá khứ nhưng refreshToken còn/không còn</x:v>
      </x:c>
      <x:c r="J15" s="3" t="str">
        <x:v>1. Tiến clock qua expiresAt.
2. Mở trang private và gọi API.</x:v>
      </x:c>
      <x:c r="K15" s="3" t="str">
        <x:v>Không coi getSession metadata là backend đã xác thực;401 xử lý đúng refresh/clear; policy proactive expiry cần xác nhận.</x:v>
      </x:c>
      <x:c r="L15" s="3" t="str">
        <x:v>src/lib/auth-token-store.ts:5
src/lib/server-api-request.ts:30</x:v>
      </x:c>
      <x:c r="M15" s="3" t="str">
        <x:v>Đề xuất Integration | Test liên quan, chưa xác nhận phủ ca: src/lib/auth-token-store.test.ts, src/lib/server-api-request.test.ts</x:v>
      </x:c>
      <x:c r="N15" s="10" t="str">
        <x:v>Blocked</x:v>
      </x:c>
      <x:c r="O15" s="10" t="str">
        <x:v>Cần backend/sandbox và ít nhất hai user hoặc HTTPS để kiểm tra authorization, session policy/HttpOnly và validation nội dung file. Frontend mock không chứng minh được các thuộc tính này.</x:v>
      </x:c>
      <x:c r="P15" s="10" t="str">
        <x:v>execution/results.json → SYS-011
execution/assertions.json</x:v>
      </x:c>
      <x:c r="Q15" s="10" t="str">
        <x:v>Codex — local automated QA</x:v>
      </x:c>
      <x:c r="R15" s="11"/>
    </x:row>
    <x:row r="16" ht="94" customHeight="1">
      <x:c r="A16" s="3" t="str">
        <x:v>SYS-012</x:v>
      </x:c>
      <x:c r="B16" s="3" t="str">
        <x:v>Public anonymous cache và private no-store</x:v>
      </x:c>
      <x:c r="C16" s="3" t="str">
        <x:v>P0</x:v>
      </x:c>
      <x:c r="D16" s="3" t="str">
        <x:v>SYS.CACHE</x:v>
      </x:c>
      <x:c r="E16" s="3" t="str">
        <x:v>Security</x:v>
      </x:c>
      <x:c r="F16" s="3" t="str">
        <x:v>Integration</x:v>
      </x:c>
      <x:c r="G16" s="3" t="str">
        <x:v>Source</x:v>
      </x:c>
      <x:c r="H16" s="3" t="str">
        <x:v>Clock/network có kiểm soát; DS-AUTH A/B; HTTP adapter/mock fetch hoặc sandbox. Không dùng token/PII thật trong fixture, log hay tài liệu.</x:v>
      </x:c>
      <x:c r="I16" s="3" t="str">
        <x:v>homepage/categories/brands/origins/products/list/detail</x:v>
      </x:c>
      <x:c r="J16" s="3" t="str">
        <x:v>1. Gọi không token.
2. Gọi cùng resource với tokenA/B.</x:v>
      </x:c>
      <x:c r="K16" s="3" t="str">
        <x:v>Anonymous revalidate300 và tags đúng resource; có token thì Bearer+no-store, không có next public cache. Dữ liệu A không phục vụ B.</x:v>
      </x:c>
      <x:c r="L16" s="3" t="str">
        <x:v>src/lib/server-api-request.ts:30
src/providers/app-providers.tsx:9
src/features/auth/api/use-login-mutation.ts:8</x:v>
      </x:c>
      <x:c r="M16" s="3" t="str">
        <x:v>Đề xuất Integration | Test liên quan, chưa xác nhận phủ ca: src/lib/server-api-request.test.ts</x:v>
      </x:c>
      <x:c r="N16" s="10" t="str">
        <x:v>Pass</x:v>
      </x:c>
      <x:c r="O16" s="10" t="str">
        <x:v>Transport/session/cookie restore/cache hoặc cấu hình tương ứng đã pass bằng adapter/cookie/fetch mock deterministic.</x:v>
      </x:c>
      <x:c r="P16" s="10" t="str">
        <x:v>execution/results.json → SYS-012
execution/assertions.json</x:v>
      </x:c>
      <x:c r="Q16" s="10" t="str">
        <x:v>Codex — local automated QA</x:v>
      </x:c>
      <x:c r="R16" s="11" t="d">
        <x:v>2026-10-18T05:30:31.999Z</x:v>
      </x:c>
    </x:row>
    <x:row r="17" ht="94" customHeight="1">
      <x:c r="A17" s="3" t="str">
        <x:v>SYS-013</x:v>
      </x:c>
      <x:c r="B17" s="3" t="str">
        <x:v>URL filter là cache key public</x:v>
      </x:c>
      <x:c r="C17" s="3" t="str">
        <x:v>P1</x:v>
      </x:c>
      <x:c r="D17" s="3" t="str">
        <x:v>SYS.CACHE</x:v>
      </x:c>
      <x:c r="E17" s="3" t="str">
        <x:v>Contract</x:v>
      </x:c>
      <x:c r="F17" s="3" t="str">
        <x:v>Integration</x:v>
      </x:c>
      <x:c r="G17" s="3" t="str">
        <x:v>Source</x:v>
      </x:c>
      <x:c r="H17" s="3" t="str">
        <x:v>Clock/network có kiểm soát; DS-AUTH A/B; HTTP adapter/mock fetch hoặc sandbox. Không dùng token/PII thật trong fixture, log hay tài liệu.</x:v>
      </x:c>
      <x:c r="I17" s="3" t="str">
        <x:v>Hai request khác brand/origin/page</x:v>
      </x:c>
      <x:c r="J17" s="3" t="str">
        <x:v>1. Gọi A rồi B rồi A.
2. Kiểm tra dữ liệu.</x:v>
      </x:c>
      <x:c r="K17" s="3" t="str">
        <x:v>Không trả kết quả cache A cho URL B; metadata/detail và visible data dùng cùng resource/freshness.</x:v>
      </x:c>
      <x:c r="L17" s="3" t="str">
        <x:v>src/lib/server-api-request.ts:30
src/providers/app-providers.tsx:9
src/features/auth/api/use-login-mutation.ts:8</x:v>
      </x:c>
      <x:c r="M17" s="3" t="str">
        <x:v>Đề xuất Integration | Test liên quan, chưa xác nhận phủ ca: src/lib/server-api-request.test.ts</x:v>
      </x:c>
      <x:c r="N17" s="10" t="str">
        <x:v>Not run</x:v>
      </x:c>
      <x:c r="O17" s="10" t="str">
        <x:v>Chưa thực thi đầy đủ các bước/expected của ca. Các test liên quan đã chạy, nhưng chưa có assertion đủ để gán Pass.</x:v>
      </x:c>
      <x:c r="P17" s="10" t="str">
        <x:v>execution/results.json → SYS-013
execution/assertions.json</x:v>
      </x:c>
      <x:c r="Q17" s="10" t="str"/>
      <x:c r="R17" s="11"/>
    </x:row>
    <x:row r="18" ht="106" customHeight="1">
      <x:c r="A18" s="3" t="str">
        <x:v>SYS-014</x:v>
      </x:c>
      <x:c r="B18" s="3" t="str">
        <x:v>Private staleTime và abort</x:v>
      </x:c>
      <x:c r="C18" s="3" t="str">
        <x:v>P1</x:v>
      </x:c>
      <x:c r="D18" s="3" t="str">
        <x:v>SYS.CACHE</x:v>
      </x:c>
      <x:c r="E18" s="3" t="str">
        <x:v>Reliability</x:v>
      </x:c>
      <x:c r="F18" s="3" t="str">
        <x:v>Integration</x:v>
      </x:c>
      <x:c r="G18" s="3" t="str">
        <x:v>Source</x:v>
      </x:c>
      <x:c r="H18" s="3" t="str">
        <x:v>Clock/network có kiểm soát; DS-AUTH A/B; HTTP adapter/mock fetch hoặc sandbox. Không dùng token/PII thật trong fixture, log hay tài liệu.</x:v>
      </x:c>
      <x:c r="I18" s="3" t="str">
        <x:v>Cart30s; Profile60s; Orders/RFQs30s</x:v>
      </x:c>
      <x:c r="J18" s="3" t="str">
        <x:v>1. Mount/unmount và remount trong/ngoài staleTime.
2. Chuyển route khi request pending.</x:v>
      </x:c>
      <x:c r="K18" s="3" t="str">
        <x:v>Không refetch không cần khi fresh; stale refetch có kiểm soát; AbortSignal tới read API; lỗi cancellation không hiển thị thành sự cố người dùng.</x:v>
      </x:c>
      <x:c r="L18" s="3" t="str">
        <x:v>src/lib/server-api-request.ts:30
src/providers/app-providers.tsx:9
src/features/auth/api/use-login-mutation.ts:8</x:v>
      </x:c>
      <x:c r="M18" s="3" t="str">
        <x:v>Đề xuất Integration | Test liên quan, chưa xác nhận phủ ca: src/lib/server-api-request.test.ts</x:v>
      </x:c>
      <x:c r="N18" s="10" t="str">
        <x:v>Not run</x:v>
      </x:c>
      <x:c r="O18" s="10" t="str">
        <x:v>MỘT PHẦN: Đã kiểm tra các phần race/error/cache liên quan và không có runtime error ở browser run; chưa có đủ assertions cho mọi retry/abort/cross-user/throttle/logging condition trong ca.</x:v>
      </x:c>
      <x:c r="P18" s="10" t="str">
        <x:v>execution/results.json → SYS-014
execution/assertions.json</x:v>
      </x:c>
      <x:c r="Q18" s="10" t="str">
        <x:v>Codex — local automated QA</x:v>
      </x:c>
      <x:c r="R18" s="11" t="d">
        <x:v>2026-10-18T05:30:31.999Z</x:v>
      </x:c>
    </x:row>
    <x:row r="19" ht="106" customHeight="1">
      <x:c r="A19" s="3" t="str">
        <x:v>SYS-015</x:v>
      </x:c>
      <x:c r="B19" s="3" t="str">
        <x:v>Switch A sang B và phản hồi cũ</x:v>
      </x:c>
      <x:c r="C19" s="3" t="str">
        <x:v>P0</x:v>
      </x:c>
      <x:c r="D19" s="3" t="str">
        <x:v>SYS.CACHE</x:v>
      </x:c>
      <x:c r="E19" s="3" t="str">
        <x:v>Concurrency</x:v>
      </x:c>
      <x:c r="F19" s="3" t="str">
        <x:v>Integration</x:v>
      </x:c>
      <x:c r="G19" s="3" t="str">
        <x:v>Security target</x:v>
      </x:c>
      <x:c r="H19" s="3" t="str">
        <x:v>Clock/network có kiểm soát; DS-AUTH A/B; HTTP adapter/mock fetch hoặc sandbox. Không dùng token/PII thật trong fixture, log hay tài liệu.</x:v>
      </x:c>
      <x:c r="I19" s="3" t="str">
        <x:v>A có profile/cart/records; requestA pending</x:v>
      </x:c>
      <x:c r="J19" s="3" t="str">
        <x:v>1. Logout A, login B.
2. Resolve responseA muộn.</x:v>
      </x:c>
      <x:c r="K19" s="3" t="str">
        <x:v>Không có dữ liệu A trong cache/UI B; mutation callback cũ không setQueryData private của B. Keys không chứa userId phải có session isolation đáng tin.</x:v>
      </x:c>
      <x:c r="L19" s="3" t="str">
        <x:v>src/lib/server-api-request.ts:30
src/providers/app-providers.tsx:9
src/features/auth/api/use-login-mutation.ts:8</x:v>
      </x:c>
      <x:c r="M19" s="3" t="str">
        <x:v>Đề xuất Integration | Test liên quan, chưa xác nhận phủ ca: src/lib/server-api-request.test.ts</x:v>
      </x:c>
      <x:c r="N19" s="10" t="str">
        <x:v>Not run</x:v>
      </x:c>
      <x:c r="O19" s="10" t="str">
        <x:v>MỘT PHẦN: Đã kiểm tra các phần race/error/cache liên quan và không có runtime error ở browser run; chưa có đủ assertions cho mọi retry/abort/cross-user/throttle/logging condition trong ca.</x:v>
      </x:c>
      <x:c r="P19" s="10" t="str">
        <x:v>FIX-04
execution/results.json → SYS-015
execution/assertions.json</x:v>
      </x:c>
      <x:c r="Q19" s="10" t="str">
        <x:v>Codex — local automated QA</x:v>
      </x:c>
      <x:c r="R19" s="11" t="d">
        <x:v>2026-10-18T05:30:31.999Z</x:v>
      </x:c>
    </x:row>
    <x:row r="20" ht="106" customHeight="1">
      <x:c r="A20" s="3" t="str">
        <x:v>SYS-016</x:v>
      </x:c>
      <x:c r="B20" s="3" t="str">
        <x:v>Retry query theo loại lỗi</x:v>
      </x:c>
      <x:c r="C20" s="3" t="str">
        <x:v>P1</x:v>
      </x:c>
      <x:c r="D20" s="3" t="str">
        <x:v>SYS.RETRY</x:v>
      </x:c>
      <x:c r="E20" s="3" t="str">
        <x:v>Contract</x:v>
      </x:c>
      <x:c r="F20" s="3" t="str">
        <x:v>Unit</x:v>
      </x:c>
      <x:c r="G20" s="3" t="str">
        <x:v>Source</x:v>
      </x:c>
      <x:c r="H20" s="3" t="str">
        <x:v>Clock/network có kiểm soát; DS-AUTH A/B; HTTP adapter/mock fetch hoặc sandbox. Không dùng token/PII thật trong fixture, log hay tài liệu.</x:v>
      </x:c>
      <x:c r="I20" s="3" t="str">
        <x:v>network,408,429,500;400,401,403,404; Zod error</x:v>
      </x:c>
      <x:c r="J20" s="3" t="str">
        <x:v>1. Gọi query với từng lỗi.
2. Đếm attempts bằng clock.</x:v>
      </x:c>
      <x:c r="K20" s="3" t="str">
        <x:v>Query mặc định tối đa3 attempts cho lỗi transient;4xx khác/Zod không retry. Profile retry=false, retryOnMount=false; mutation retry=false.</x:v>
      </x:c>
      <x:c r="L20" s="3" t="str">
        <x:v>src/lib/http-client.ts:12
src/providers/app-providers.tsx:9</x:v>
      </x:c>
      <x:c r="M20" s="3" t="str">
        <x:v>Đề xuất Unit | Test liên quan, chưa xác nhận phủ ca: src/lib/http-client.test.ts</x:v>
      </x:c>
      <x:c r="N20" s="10" t="str">
        <x:v>Not run</x:v>
      </x:c>
      <x:c r="O20" s="10" t="str">
        <x:v>MỘT PHẦN: Đã kiểm tra các phần race/error/cache liên quan và không có runtime error ở browser run; chưa có đủ assertions cho mọi retry/abort/cross-user/throttle/logging condition trong ca.</x:v>
      </x:c>
      <x:c r="P20" s="10" t="str">
        <x:v>execution/results.json → SYS-016
execution/assertions.json</x:v>
      </x:c>
      <x:c r="Q20" s="10" t="str">
        <x:v>Codex — local automated QA</x:v>
      </x:c>
      <x:c r="R20" s="11" t="d">
        <x:v>2026-10-18T05:30:31.999Z</x:v>
      </x:c>
    </x:row>
    <x:row r="21" ht="106" customHeight="1">
      <x:c r="A21" s="3" t="str">
        <x:v>SYS-017</x:v>
      </x:c>
      <x:c r="B21" s="3" t="str">
        <x:v>Không lặp mutation mù sau timeout</x:v>
      </x:c>
      <x:c r="C21" s="3" t="str">
        <x:v>P0</x:v>
      </x:c>
      <x:c r="D21" s="3" t="str">
        <x:v>SYS.RETRY</x:v>
      </x:c>
      <x:c r="E21" s="3" t="str">
        <x:v>Reliability</x:v>
      </x:c>
      <x:c r="F21" s="3" t="str">
        <x:v>Integration</x:v>
      </x:c>
      <x:c r="G21" s="3" t="str">
        <x:v>Integration contract</x:v>
      </x:c>
      <x:c r="H21" s="3" t="str">
        <x:v>Clock/network có kiểm soát; DS-AUTH A/B; HTTP adapter/mock fetch hoặc sandbox. Không dùng token/PII thật trong fixture, log hay tài liệu.</x:v>
      </x:c>
      <x:c r="I21" s="3" t="str">
        <x:v>POST cart/change-password/checkout</x:v>
      </x:c>
      <x:c r="J21" s="3" t="str">
        <x:v>1. Backend xử lý nhưng response timeout.
2. Quan sát tự retry và user retry.</x:v>
      </x:c>
      <x:c r="K21" s="3" t="str">
        <x:v>Không auto retry mutation; xác minh kết quả trước retry thủ công nếu có rủi ro duplicate. Idempotency phải giữ cùng ý định qua retry theo contract backend.</x:v>
      </x:c>
      <x:c r="L21" s="3" t="str">
        <x:v>src/lib/http-client.ts:12
src/providers/app-providers.tsx:9</x:v>
      </x:c>
      <x:c r="M21" s="3" t="str">
        <x:v>Đề xuất Integration | Test liên quan, chưa xác nhận phủ ca: src/lib/http-client.test.ts</x:v>
      </x:c>
      <x:c r="N21" s="10" t="str">
        <x:v>Not run</x:v>
      </x:c>
      <x:c r="O21" s="10" t="str">
        <x:v>MỘT PHẦN: Đã kiểm tra các phần race/error/cache liên quan và không có runtime error ở browser run; chưa có đủ assertions cho mọi retry/abort/cross-user/throttle/logging condition trong ca.</x:v>
      </x:c>
      <x:c r="P21" s="10" t="str">
        <x:v>execution/results.json → SYS-017
execution/assertions.json</x:v>
      </x:c>
      <x:c r="Q21" s="10" t="str">
        <x:v>Codex — local automated QA</x:v>
      </x:c>
      <x:c r="R21" s="11" t="d">
        <x:v>2026-10-18T05:30:31.999Z</x:v>
      </x:c>
    </x:row>
    <x:row r="22" ht="94" customHeight="1">
      <x:c r="A22" s="3" t="str">
        <x:v>SYS-018</x:v>
      </x:c>
      <x:c r="B22" s="3" t="str">
        <x:v>Ưu tiên error message và fallback</x:v>
      </x:c>
      <x:c r="C22" s="3" t="str">
        <x:v>P1</x:v>
      </x:c>
      <x:c r="D22" s="3" t="str">
        <x:v>SYS.ERROR</x:v>
      </x:c>
      <x:c r="E22" s="3" t="str">
        <x:v>Contract</x:v>
      </x:c>
      <x:c r="F22" s="3" t="str">
        <x:v>Unit</x:v>
      </x:c>
      <x:c r="G22" s="3" t="str">
        <x:v>Source</x:v>
      </x:c>
      <x:c r="H22" s="3" t="str">
        <x:v>Clock/network có kiểm soát; DS-AUTH A/B; HTTP adapter/mock fetch hoặc sandbox. Không dùng token/PII thật trong fixture, log hay tài liệu.</x:v>
      </x:c>
      <x:c r="I22" s="3" t="str">
        <x:v>message+detail; detail400/500; canceled; unknown error</x:v>
      </x:c>
      <x:c r="J22" s="3" t="str">
        <x:v>1. Gọi getApiErrorMessage với fixture.</x:v>
      </x:c>
      <x:c r="K22" s="3" t="str">
        <x:v>message không rỗng ưu tiên; detail chỉ khi status&lt;500;400/401/403/404/409/429 có fallback;ERR_CANCELED thông báo hủy;unknown fallback an toàn.</x:v>
      </x:c>
      <x:c r="L22" s="3" t="str">
        <x:v>src/lib/api-error.ts:18</x:v>
      </x:c>
      <x:c r="M22" s="3" t="str">
        <x:v>Đề xuất Unit | Test liên quan, chưa xác nhận phủ ca: src/lib/api-error.test.ts</x:v>
      </x:c>
      <x:c r="N22" s="10" t="str">
        <x:v>Pass</x:v>
      </x:c>
      <x:c r="O22" s="10" t="str">
        <x:v>Transport/session/cookie restore/cache hoặc cấu hình tương ứng đã pass bằng adapter/cookie/fetch mock deterministic.</x:v>
      </x:c>
      <x:c r="P22" s="10" t="str">
        <x:v>execution/results.json → SYS-018
execution/assertions.json</x:v>
      </x:c>
      <x:c r="Q22" s="10" t="str">
        <x:v>Codex — local automated QA</x:v>
      </x:c>
      <x:c r="R22" s="11" t="d">
        <x:v>2026-10-18T05:30:31.999Z</x:v>
      </x:c>
    </x:row>
    <x:row r="23" ht="106" customHeight="1">
      <x:c r="A23" s="3" t="str">
        <x:v>SYS-019</x:v>
      </x:c>
      <x:c r="B23" s="3" t="str">
        <x:v>Không lộ secret qua lỗi hoặc console</x:v>
      </x:c>
      <x:c r="C23" s="3" t="str">
        <x:v>P1</x:v>
      </x:c>
      <x:c r="D23" s="3" t="str">
        <x:v>SYS.ERROR</x:v>
      </x:c>
      <x:c r="E23" s="3" t="str">
        <x:v>Security</x:v>
      </x:c>
      <x:c r="F23" s="3" t="str">
        <x:v>Integration</x:v>
      </x:c>
      <x:c r="G23" s="3" t="str">
        <x:v>Security target</x:v>
      </x:c>
      <x:c r="H23" s="3" t="str">
        <x:v>Clock/network có kiểm soát; DS-AUTH A/B; HTTP adapter/mock fetch hoặc sandbox. Không dùng token/PII thật trong fixture, log hay tài liệu.</x:v>
      </x:c>
      <x:c r="I23" s="3" t="str">
        <x:v>Payload error chứa stack/token/PII; cart có dữ liệu người dùng</x:v>
      </x:c>
      <x:c r="J23" s="3" t="str">
        <x:v>1. Gây lỗi/API response.
2. Quan sát UI/log có redaction.</x:v>
      </x:c>
      <x:c r="K23" s="3" t="str">
        <x:v>Không ghi token/password/PII trong log/UI; kiểm tra message500 do backend cấp trước khi hiển thị và console.warn cart debug.
Dependency / lưu ý: CartScreen hiện console.warn(items); getApiErrorMessage vẫn ưu tiên message ở500.</x:v>
      </x:c>
      <x:c r="L23" s="3" t="str">
        <x:v>src/lib/api-error.ts:18</x:v>
      </x:c>
      <x:c r="M23" s="3" t="str">
        <x:v>Đề xuất Integration | Test liên quan, chưa xác nhận phủ ca: src/lib/api-error.test.ts</x:v>
      </x:c>
      <x:c r="N23" s="10" t="str">
        <x:v>Not run</x:v>
      </x:c>
      <x:c r="O23" s="10" t="str">
        <x:v>MỘT PHẦN: Đã kiểm tra các phần race/error/cache liên quan và không có runtime error ở browser run; chưa có đủ assertions cho mọi retry/abort/cross-user/throttle/logging condition trong ca.</x:v>
      </x:c>
      <x:c r="P23" s="10" t="str">
        <x:v>FIX-20
execution/results.json → SYS-019
execution/assertions.json</x:v>
      </x:c>
      <x:c r="Q23" s="10" t="str">
        <x:v>Codex — local automated QA</x:v>
      </x:c>
      <x:c r="R23" s="11" t="d">
        <x:v>2026-10-18T05:30:31.999Z</x:v>
      </x:c>
    </x:row>
    <x:row r="24" ht="94" customHeight="1">
      <x:c r="A24" s="3" t="str">
        <x:v>SYS-020</x:v>
      </x:c>
      <x:c r="B24" s="3" t="str">
        <x:v>API base URL contract</x:v>
      </x:c>
      <x:c r="C24" s="3" t="str">
        <x:v>P2</x:v>
      </x:c>
      <x:c r="D24" s="3" t="str">
        <x:v>SYS.CONFIG</x:v>
      </x:c>
      <x:c r="E24" s="3" t="str">
        <x:v>Boundary</x:v>
      </x:c>
      <x:c r="F24" s="3" t="str">
        <x:v>Unit</x:v>
      </x:c>
      <x:c r="G24" s="3" t="str">
        <x:v>Source</x:v>
      </x:c>
      <x:c r="H24" s="3" t="str">
        <x:v>Clock/network có kiểm soát; DS-AUTH A/B; HTTP adapter/mock fetch hoặc sandbox. Không dùng token/PII thật trong fixture, log hay tài liệu.</x:v>
      </x:c>
      <x:c r="I24" s="3" t="str">
        <x:v>undefined; https://api.example.test/v1///; /api/; empty; //host; ftp; /</x:v>
      </x:c>
      <x:c r="J24" s="3" t="str">
        <x:v>1. Parse từng giá trị với fixture env.</x:v>
      </x:c>
      <x:c r="K24" s="3" t="str">
        <x:v>Undefined dùng fallback source; trailing slash bỏ; HTTP(S)/root-relative hợp lệ; empty và scheme/root sai reject. Không đọc .env.local thật trong báo cáo.</x:v>
      </x:c>
      <x:c r="L24" s="3" t="str">
        <x:v>src/config/client-env.ts:5
src/config/site.ts:8</x:v>
      </x:c>
      <x:c r="M24" s="3" t="str">
        <x:v>Đề xuất Unit | Test liên quan, chưa xác nhận phủ ca: src/config/client-env.test.ts, src/config/site.test.ts</x:v>
      </x:c>
      <x:c r="N24" s="10" t="str">
        <x:v>Pass</x:v>
      </x:c>
      <x:c r="O24" s="10" t="str">
        <x:v>Transport/session/cookie restore/cache hoặc cấu hình tương ứng đã pass bằng adapter/cookie/fetch mock deterministic.</x:v>
      </x:c>
      <x:c r="P24" s="10" t="str">
        <x:v>execution/results.json → SYS-020
execution/assertions.json</x:v>
      </x:c>
      <x:c r="Q24" s="10" t="str">
        <x:v>Codex — local automated QA</x:v>
      </x:c>
      <x:c r="R24" s="11" t="d">
        <x:v>2026-10-18T05:30:31.999Z</x:v>
      </x:c>
    </x:row>
    <x:row r="25" ht="94" customHeight="1">
      <x:c r="A25" s="3" t="str">
        <x:v>SYS-021</x:v>
      </x:c>
      <x:c r="B25" s="3" t="str">
        <x:v>Site URL production</x:v>
      </x:c>
      <x:c r="C25" s="3" t="str">
        <x:v>P1</x:v>
      </x:c>
      <x:c r="D25" s="3" t="str">
        <x:v>SYS.CONFIG</x:v>
      </x:c>
      <x:c r="E25" s="3" t="str">
        <x:v>Boundary</x:v>
      </x:c>
      <x:c r="F25" s="3" t="str">
        <x:v>Unit</x:v>
      </x:c>
      <x:c r="G25" s="3" t="str">
        <x:v>Source</x:v>
      </x:c>
      <x:c r="H25" s="3" t="str">
        <x:v>Clock/network có kiểm soát; DS-AUTH A/B; HTTP adapter/mock fetch hoặc sandbox. Không dùng token/PII thật trong fixture, log hay tài liệu.</x:v>
      </x:c>
      <x:c r="I25" s="3" t="str">
        <x:v>undefined/ftp/path/query/hash; valid origin</x:v>
      </x:c>
      <x:c r="J25" s="3" t="str">
        <x:v>1. Parse theo production/development.</x:v>
      </x:c>
      <x:c r="K25" s="3" t="str">
        <x:v>Production cần originHTTP(S) hợp lệ không path/query/hash; dev không config về localhost; canonical/sitemap không trỏ localhost production.</x:v>
      </x:c>
      <x:c r="L25" s="3" t="str">
        <x:v>src/config/client-env.ts:5
src/config/site.ts:8</x:v>
      </x:c>
      <x:c r="M25" s="3" t="str">
        <x:v>Đề xuất Unit | Test liên quan, chưa xác nhận phủ ca: src/config/client-env.test.ts, src/config/site.test.ts</x:v>
      </x:c>
      <x:c r="N25" s="10" t="str">
        <x:v>Pass</x:v>
      </x:c>
      <x:c r="O25" s="10" t="str">
        <x:v>Transport/session/cookie restore/cache hoặc cấu hình tương ứng đã pass bằng adapter/cookie/fetch mock deterministic.</x:v>
      </x:c>
      <x:c r="P25" s="10" t="str">
        <x:v>execution/results.json → SYS-021
execution/assertions.json</x:v>
      </x:c>
      <x:c r="Q25" s="10" t="str">
        <x:v>Codex — local automated QA</x:v>
      </x:c>
      <x:c r="R25" s="11" t="d">
        <x:v>2026-10-18T05:30:31.999Z</x:v>
      </x:c>
    </x:row>
    <x:row r="26" ht="94" customHeight="1">
      <x:c r="A26" s="3" t="str">
        <x:v>SYS-022</x:v>
      </x:c>
      <x:c r="B26" s="3" t="str">
        <x:v>Security headers và image host</x:v>
      </x:c>
      <x:c r="C26" s="3" t="str">
        <x:v>P1</x:v>
      </x:c>
      <x:c r="D26" s="3" t="str">
        <x:v>SYS.HEADERS</x:v>
      </x:c>
      <x:c r="E26" s="3" t="str">
        <x:v>Security</x:v>
      </x:c>
      <x:c r="F26" s="3" t="str">
        <x:v>Browser</x:v>
      </x:c>
      <x:c r="G26" s="3" t="str">
        <x:v>Source</x:v>
      </x:c>
      <x:c r="H26" s="3" t="str">
        <x:v>Clock/network có kiểm soát; DS-AUTH A/B; HTTP adapter/mock fetch hoặc sandbox. Không dùng token/PII thật trong fixture, log hay tài liệu.</x:v>
      </x:c>
      <x:c r="I26" s="3" t="str">
        <x:v>Response route public/private; media đúng/saihost</x:v>
      </x:c>
      <x:c r="J26" s="3" t="str">
        <x:v>1. Đọc headers server sandbox.
2. Tải ảnh qua Next image.</x:v>
      </x:c>
      <x:c r="K26" s="3" t="str">
        <x:v>nosniff, X-Frame-Options DENY, referrer policy, permissions policy đúng config; media allowlist đúng API host/path; không thêm host tùy ý để vượt bảo vệ.</x:v>
      </x:c>
      <x:c r="L26" s="3" t="str">
        <x:v>src/config/site.ts:8</x:v>
      </x:c>
      <x:c r="M26" s="3" t="str">
        <x:v>Đề xuất Browser | Test liên quan, chưa xác nhận phủ ca: src/config/site.test.ts</x:v>
      </x:c>
      <x:c r="N26" s="10" t="str">
        <x:v>Not run</x:v>
      </x:c>
      <x:c r="O26" s="10" t="str">
        <x:v>MỘT PHẦN: Headers và image allowlist đã quan sát trên HTTP local; chưa kiểm tra production host thật và các host ảnh ngoài danh sách.</x:v>
      </x:c>
      <x:c r="P26" s="10" t="str">
        <x:v>execution/results.json → SYS-022
execution/browser-results.json
execution/assertions.json</x:v>
      </x:c>
      <x:c r="Q26" s="10" t="str">
        <x:v>Codex — local automated QA</x:v>
      </x:c>
      <x:c r="R26" s="11" t="d">
        <x:v>2026-10-18T05:30:31.999Z</x:v>
      </x:c>
    </x:row>
    <x:row r="27" ht="106" customHeight="1">
      <x:c r="A27" s="3" t="str">
        <x:v>SYS-023</x:v>
      </x:c>
      <x:c r="B27" s="3" t="str">
        <x:v>Request waterfall và count categories</x:v>
      </x:c>
      <x:c r="C27" s="3" t="str">
        <x:v>P2</x:v>
      </x:c>
      <x:c r="D27" s="3" t="str">
        <x:v>SYS.PERF</x:v>
      </x:c>
      <x:c r="E27" s="3" t="str">
        <x:v>Performance</x:v>
      </x:c>
      <x:c r="F27" s="3" t="str">
        <x:v>Browser</x:v>
      </x:c>
      <x:c r="G27" s="3" t="str">
        <x:v>Quality target</x:v>
      </x:c>
      <x:c r="H27" s="3" t="str">
        <x:v>Clock/network có kiểm soát; DS-AUTH A/B; HTTP adapter/mock fetch hoặc sandbox. Không dùng token/PII thật trong fixture, log hay tài liệu.</x:v>
      </x:c>
      <x:c r="I27" s="3" t="str">
        <x:v>Catalog có nhiều root thiếu productCount</x:v>
      </x:c>
      <x:c r="J27" s="3" t="str">
        <x:v>1. Cold-load và lấy trace server/browser.
2. So với trường hợp có count.</x:v>
      </x:c>
      <x:c r="K27" s="3" t="str">
        <x:v>Đo được4 resource độc lập; count thiếu phát sinh request từng category, count sẵn không gọi; chốt budget với team trước khi dùng làm release gate.</x:v>
      </x:c>
      <x:c r="L27" s="3" t="str">
        <x:v>src/lib/server-api-request.ts:30
src/providers/app-providers.tsx:9</x:v>
      </x:c>
      <x:c r="M27" s="3" t="str">
        <x:v>Đề xuất Browser | Test liên quan, chưa xác nhận phủ ca: src/lib/server-api-request.test.ts</x:v>
      </x:c>
      <x:c r="N27" s="10" t="str">
        <x:v>Not run</x:v>
      </x:c>
      <x:c r="O27" s="10" t="str">
        <x:v>MỘT PHẦN: Đã kiểm tra các phần race/error/cache liên quan và không có runtime error ở browser run; chưa có đủ assertions cho mọi retry/abort/cross-user/throttle/logging condition trong ca.</x:v>
      </x:c>
      <x:c r="P27" s="10" t="str">
        <x:v>execution/results.json → SYS-023
execution/assertions.json</x:v>
      </x:c>
      <x:c r="Q27" s="10" t="str">
        <x:v>Codex — local automated QA</x:v>
      </x:c>
      <x:c r="R27" s="11" t="d">
        <x:v>2026-10-18T05:30:31.999Z</x:v>
      </x:c>
    </x:row>
    <x:row r="28" ht="94" customHeight="1">
      <x:c r="A28" s="3" t="str">
        <x:v>SYS-024</x:v>
      </x:c>
      <x:c r="B28" s="3" t="str">
        <x:v>Hydration và tải chậm</x:v>
      </x:c>
      <x:c r="C28" s="3" t="str">
        <x:v>P2</x:v>
      </x:c>
      <x:c r="D28" s="3" t="str">
        <x:v>SYS.PERF</x:v>
      </x:c>
      <x:c r="E28" s="3" t="str">
        <x:v>Performance</x:v>
      </x:c>
      <x:c r="F28" s="3" t="str">
        <x:v>Browser</x:v>
      </x:c>
      <x:c r="G28" s="3" t="str">
        <x:v>Quality target</x:v>
      </x:c>
      <x:c r="H28" s="3" t="str">
        <x:v>Clock/network có kiểm soát; DS-AUTH A/B; HTTP adapter/mock fetch hoặc sandbox. Không dùng token/PII thật trong fixture, log hay tài liệu.</x:v>
      </x:c>
      <x:c r="I28" s="3" t="str">
        <x:v>Home/PDP/catalog ở cold4G và CPU throttle</x:v>
      </x:c>
      <x:c r="J28" s="3" t="str">
        <x:v>1. Đọc HTML trước hydration.
2. Theo dõi console, layout shift và thao tác.</x:v>
      </x:c>
      <x:c r="K28" s="3" t="str">
        <x:v>Content public có server HTML; không hydration mismatch; skeleton giữ bố cục và form vẫn tương tác được. Ghi LCP/INP/CLS với budget thống nhất, không tự claim đạt.</x:v>
      </x:c>
      <x:c r="L28" s="3" t="str">
        <x:v>src/lib/server-api-request.ts:30
src/providers/app-providers.tsx:9</x:v>
      </x:c>
      <x:c r="M28" s="3" t="str">
        <x:v>Đề xuất Browser | Test liên quan, chưa xác nhận phủ ca: src/lib/server-api-request.test.ts</x:v>
      </x:c>
      <x:c r="N28" s="10" t="str">
        <x:v>Not run</x:v>
      </x:c>
      <x:c r="O28" s="10" t="str">
        <x:v>MỘT PHẦN: Không có pageerror/hydration error trong browser run; chưa chạy ma trận slow network/CPU.</x:v>
      </x:c>
      <x:c r="P28" s="10" t="str">
        <x:v>execution/results.json → SYS-024
execution/browser-results.json
execution/assertions.json</x:v>
      </x:c>
      <x:c r="Q28" s="10" t="str">
        <x:v>Codex — local automated QA</x:v>
      </x:c>
      <x:c r="R28" s="11" t="d">
        <x:v>2026-10-18T05:30:31.999Z</x:v>
      </x:c>
    </x:row>
  </x:sheetData>
  <x:conditionalFormatting sqref="N5:N28">
    <x:cfRule type="containsText" dxfId="42" priority="1" operator="containsText" text="Fail"/>
    <x:cfRule type="containsText" dxfId="43" priority="2" operator="containsText" text="Blocked"/>
  </x:conditionalFormatting>
  <x:conditionalFormatting sqref="C5:C28">
    <x:cfRule type="containsText" dxfId="44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0b3fbb4c974e3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LOC — Ngôn ngữ và routing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LOC-001</x:v>
      </x:c>
      <x:c r="B5" s="3" t="str">
        <x:v>Prefix mặc định và vi</x:v>
      </x:c>
      <x:c r="C5" s="3" t="str">
        <x:v>P1</x:v>
      </x:c>
      <x:c r="D5" s="3" t="str">
        <x:v>LOC.ROUTE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Browser sạch/locale cookie; mọi journey trọng yếu được lặp ở en và vi; có query brandIds/items/page và fragment.</x:v>
      </x:c>
      <x:c r="I5" s="3" t="str">
        <x:v>/, /vi, /products, /vi/products</x:v>
      </x:c>
      <x:c r="J5" s="3" t="str">
        <x:v>1. Mở trực tiếp từng URL và reload.</x:v>
      </x:c>
      <x:c r="K5" s="3" t="str">
        <x:v>en không cần prefix;vi có /vi; không redirect loop hoặc mất route; cookie NEXT_LOCALE theo routing.</x:v>
      </x:c>
      <x:c r="L5" s="3" t="str">
        <x:v>src/i18n/routing.ts:3
src/i18n/locale.ts:5
src/middleware.ts:7</x:v>
      </x:c>
      <x:c r="M5" s="3" t="str">
        <x:v>Đề xuất Integration | Test liên quan, chưa xác nhận phủ ca: src/i18n/locale.test.ts</x:v>
      </x:c>
      <x:c r="N5" s="10" t="str">
        <x:v>Pass</x:v>
      </x:c>
      <x:c r="O5" s="10" t="str">
        <x:v>Locale URL/fragment, message contract, canonical/hreflang và PDP metadata/JSON-LD có assertion trực tiếp đã pass. Browser bổ sung SSR lang và link vi.</x:v>
      </x:c>
      <x:c r="P5" s="10" t="str">
        <x:v>FIX-15
execution/results.json → LOC-001
execution/browser-results.json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LOC-002</x:v>
      </x:c>
      <x:c r="B6" s="3" t="str">
        <x:v>Giữ path và query khi đổi locale</x:v>
      </x:c>
      <x:c r="C6" s="3" t="str">
        <x:v>P1</x:v>
      </x:c>
      <x:c r="D6" s="3" t="str">
        <x:v>LOC.SWITCH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Browser sạch/locale cookie; mọi journey trọng yếu được lặp ở en và vi; có query brandIds/items/page và fragment.</x:v>
      </x:c>
      <x:c r="I6" s="3" t="str">
        <x:v>/products/category/slug?brandIds=B1&amp;origins=SG&amp;page=2</x:v>
      </x:c>
      <x:c r="J6" s="3" t="str">
        <x:v>1. Chọn vi rồi en từ switcher.</x:v>
      </x:c>
      <x:c r="K6" s="3" t="str">
        <x:v>Giữ path/query, đổi prefix đúng; không reset filter hoặc item IDs; chọn locale hiện tại không điều hướng thừa.</x:v>
      </x:c>
      <x:c r="L6" s="3" t="str">
        <x:v>src/i18n/routing.ts:3
src/i18n/locale.ts:5
src/middleware.ts:7</x:v>
      </x:c>
      <x:c r="M6" s="3" t="str">
        <x:v>Đề xuất Integration | Test liên quan, chưa xác nhận phủ ca: src/i18n/locale.test.ts</x:v>
      </x:c>
      <x:c r="N6" s="10" t="str">
        <x:v>Not run</x:v>
      </x:c>
      <x:c r="O6" s="10" t="str">
        <x:v>MỘT PHẦN: Đã kiểm tra helper/path/query và format tương ứng; chưa chạy hết các route/locale và format trong ca.</x:v>
      </x:c>
      <x:c r="P6" s="10" t="str">
        <x:v>execution/results.json → LOC-002
execution/assertions.json</x:v>
      </x:c>
      <x:c r="Q6" s="10" t="str">
        <x:v>Codex — local automated QA</x:v>
      </x:c>
      <x:c r="R6" s="11" t="d">
        <x:v>2026-10-18T05:30:31.999Z</x:v>
      </x:c>
    </x:row>
    <x:row r="7" ht="94" customHeight="1">
      <x:c r="A7" s="3" t="str">
        <x:v>LOC-003</x:v>
      </x:c>
      <x:c r="B7" s="3" t="str">
        <x:v>Fragment khi đổi ngôn ngữ</x:v>
      </x:c>
      <x:c r="C7" s="3" t="str">
        <x:v>P2</x:v>
      </x:c>
      <x:c r="D7" s="3" t="str">
        <x:v>LOC.SWITCH</x:v>
      </x:c>
      <x:c r="E7" s="3" t="str">
        <x:v>Functional</x:v>
      </x:c>
      <x:c r="F7" s="3" t="str">
        <x:v>Integration</x:v>
      </x:c>
      <x:c r="G7" s="3" t="str">
        <x:v>Decision required</x:v>
      </x:c>
      <x:c r="H7" s="3" t="str">
        <x:v>Browser sạch/locale cookie; mọi journey trọng yếu được lặp ở en và vi; có query brandIds/items/page và fragment.</x:v>
      </x:c>
      <x:c r="I7" s="3" t="str">
        <x:v>/#research-leaders hoặc /vi/#new-products</x:v>
      </x:c>
      <x:c r="J7" s="3" t="str">
        <x:v>1. Mở anchor.
2. Đổi locale.</x:v>
      </x:c>
      <x:c r="K7" s="3" t="str">
        <x:v>Xác nhận kỳ vọng giữ hash/scroll; source nối pathname+search chưa nối hash, không mặc định bảo toàn.</x:v>
      </x:c>
      <x:c r="L7" s="3" t="str">
        <x:v>src/i18n/routing.ts:3
src/i18n/locale.ts:5
src/middleware.ts:7</x:v>
      </x:c>
      <x:c r="M7" s="3" t="str">
        <x:v>Đề xuất Integration | Test liên quan, chưa xác nhận phủ ca: src/i18n/locale.test.ts</x:v>
      </x:c>
      <x:c r="N7" s="10" t="str">
        <x:v>Blocked</x:v>
      </x:c>
      <x:c r="O7" s="10" t="str">
        <x:v>Expected chưa có quyết định PO/backend hoặc nội dung/contract được phê duyệt. Xem dependency gốc trong test case; không suy diễn Pass từ hành vi hiện tại.</x:v>
      </x:c>
      <x:c r="P7" s="10" t="str">
        <x:v>FIX-15
execution/results.json → LOC-003
execution/assertions.json</x:v>
      </x:c>
      <x:c r="Q7" s="10" t="str">
        <x:v>Codex — local automated QA</x:v>
      </x:c>
      <x:c r="R7" s="11"/>
    </x:row>
    <x:row r="8" ht="94" customHeight="1">
      <x:c r="A8" s="3" t="str">
        <x:v>LOC-004</x:v>
      </x:c>
      <x:c r="B8" s="3" t="str">
        <x:v>Keys và ICU placeholders</x:v>
      </x:c>
      <x:c r="C8" s="3" t="str">
        <x:v>P1</x:v>
      </x:c>
      <x:c r="D8" s="3" t="str">
        <x:v>LOC.MESSAGES</x:v>
      </x:c>
      <x:c r="E8" s="3" t="str">
        <x:v>Contract</x:v>
      </x:c>
      <x:c r="F8" s="3" t="str">
        <x:v>Unit + Integration</x:v>
      </x:c>
      <x:c r="G8" s="3" t="str">
        <x:v>Source</x:v>
      </x:c>
      <x:c r="H8" s="3" t="str">
        <x:v>Browser sạch/locale cookie; mọi journey trọng yếu được lặp ở en và vi; có query brandIds/items/page và fragment.</x:v>
      </x:c>
      <x:c r="I8" s="3" t="str">
        <x:v>673 leaf keys mỗi locale tại snapshot</x:v>
      </x:c>
      <x:c r="J8" s="3" t="str">
        <x:v>1. Parse2 message files.
2. Render message với count0,1,2 và tham số.</x:v>
      </x:c>
      <x:c r="K8" s="3" t="str">
        <x:v>Cùng keys; biến ICU đúng ý nghĩa (không so số lần xuất hiện đơn thuần); không MISSING_MESSAGE hoặc raw key trên UI.</x:v>
      </x:c>
      <x:c r="L8" s="3" t="str">
        <x:v>src/i18n/routing.ts:3
src/i18n/locale.ts:5
src/middleware.ts:7</x:v>
      </x:c>
      <x:c r="M8" s="3" t="str">
        <x:v>Đề xuất Unit + Integration | Test liên quan, chưa xác nhận phủ ca: src/i18n/locale.test.ts</x:v>
      </x:c>
      <x:c r="N8" s="10" t="str">
        <x:v>Pass</x:v>
      </x:c>
      <x:c r="O8" s="10" t="str">
        <x:v>Locale URL/fragment, message contract, canonical/hreflang và PDP metadata/JSON-LD có assertion trực tiếp đã pass. Browser bổ sung SSR lang và link vi.</x:v>
      </x:c>
      <x:c r="P8" s="10" t="str">
        <x:v>execution/results.json → LOC-004
execution/assertions.json</x:v>
      </x:c>
      <x:c r="Q8" s="10" t="str">
        <x:v>Codex — local automated QA</x:v>
      </x:c>
      <x:c r="R8" s="11" t="d">
        <x:v>2026-10-18T05:30:31.999Z</x:v>
      </x:c>
    </x:row>
    <x:row r="9" ht="122" customHeight="1">
      <x:c r="A9" s="3" t="str">
        <x:v>LOC-005</x:v>
      </x:c>
      <x:c r="B9" s="3" t="str">
        <x:v>Không còn text sai locale trong luồng chính</x:v>
      </x:c>
      <x:c r="C9" s="3" t="str">
        <x:v>P2</x:v>
      </x:c>
      <x:c r="D9" s="3" t="str">
        <x:v>LOC.TEXT</x:v>
      </x:c>
      <x:c r="E9" s="3" t="str">
        <x:v>Functional</x:v>
      </x:c>
      <x:c r="F9" s="3" t="str">
        <x:v>Integration</x:v>
      </x:c>
      <x:c r="G9" s="3" t="str">
        <x:v>Quality target</x:v>
      </x:c>
      <x:c r="H9" s="3" t="str">
        <x:v>Browser sạch/locale cookie; mọi journey trọng yếu được lặp ở en và vi; có query brandIds/items/page và fragment.</x:v>
      </x:c>
      <x:c r="I9" s="3" t="str">
        <x:v>vi auth/cart/checkout/profile/news/legal</x:v>
      </x:c>
      <x:c r="J9" s="3" t="str">
        <x:v>1. Duyệt từng màn và gây validation/error.
2. Đọc labels, aria-label và button.</x:v>
      </x:c>
      <x:c r="K9" s="3" t="str">
        <x:v>Text và lỗi theo locale hoặc ngoại lệ đã PO chấp thuận; test schema error hardcode/aria English/profile Member since riêng, không chỉ so JSON keys.</x:v>
      </x:c>
      <x:c r="L9" s="3" t="str">
        <x:v>src/i18n/routing.ts:3
src/i18n/locale.ts:5
src/middleware.ts:7</x:v>
      </x:c>
      <x:c r="M9" s="3" t="str">
        <x:v>Đề xuất Integration | Test liên quan, chưa xác nhận phủ ca: src/i18n/locale.test.ts</x:v>
      </x:c>
      <x:c r="N9" s="10" t="str">
        <x:v>Blocked</x:v>
      </x:c>
      <x:c r="O9" s="10" t="str">
        <x:v>Cần chốt nội dung/locale hoặc contract hành vi: event tĩnh đã cũ, legal còn tiếng Anh, API/schema errors còn text cố định, search/seller/currency/social có phần chưa được nối xử lý. Không tự tạo chính sách hay API chưa có.</x:v>
      </x:c>
      <x:c r="P9" s="10" t="str">
        <x:v>execution/results.json → LOC-005
execution/assertions.json</x:v>
      </x:c>
      <x:c r="Q9" s="10" t="str">
        <x:v>Codex — local automated QA</x:v>
      </x:c>
      <x:c r="R9" s="11"/>
    </x:row>
    <x:row r="10" ht="94" customHeight="1">
      <x:c r="A10" s="3" t="str">
        <x:v>LOC-006</x:v>
      </x:c>
      <x:c r="B10" s="3" t="str">
        <x:v>HTML lang và screen reader</x:v>
      </x:c>
      <x:c r="C10" s="3" t="str">
        <x:v>P2</x:v>
      </x:c>
      <x:c r="D10" s="3" t="str">
        <x:v>LOC.HTML</x:v>
      </x:c>
      <x:c r="E10" s="3" t="str">
        <x:v>Accessibility</x:v>
      </x:c>
      <x:c r="F10" s="3" t="str">
        <x:v>Integration</x:v>
      </x:c>
      <x:c r="G10" s="3" t="str">
        <x:v>Quality target</x:v>
      </x:c>
      <x:c r="H10" s="3" t="str">
        <x:v>Browser sạch/locale cookie; mọi journey trọng yếu được lặp ở en và vi; có query brandIds/items/page và fragment.</x:v>
      </x:c>
      <x:c r="I10" s="3" t="str">
        <x:v>/vi và các route vi</x:v>
      </x:c>
      <x:c r="J10" s="3" t="str">
        <x:v>1. Mở vi.
2. Đọc document.documentElement.lang.</x:v>
      </x:c>
      <x:c r="K10" s="3" t="str">
        <x:v>lang=vi ở nội dung Việt, en ở tiếng Anh; phát âm theo ngôn ngữ; không root lang=en cố định trên vi.</x:v>
      </x:c>
      <x:c r="L10" s="3" t="str">
        <x:v>src/i18n/routing.ts:3
src/i18n/locale.ts:5
src/middleware.ts:7</x:v>
      </x:c>
      <x:c r="M10" s="3" t="str">
        <x:v>Đề xuất Integration | Test liên quan, chưa xác nhận phủ ca: src/i18n/locale.test.ts</x:v>
      </x:c>
      <x:c r="N10" s="10" t="str">
        <x:v>Pass</x:v>
      </x:c>
      <x:c r="O10" s="10" t="str">
        <x:v>Locale URL/fragment, message contract, canonical/hreflang và PDP metadata/JSON-LD có assertion trực tiếp đã pass. Browser bổ sung SSR lang và link vi.</x:v>
      </x:c>
      <x:c r="P10" s="10" t="str">
        <x:v>FIX-15
execution/results.json → LOC-006
execution/browser-results.json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LOC-007</x:v>
      </x:c>
      <x:c r="B11" s="3" t="str">
        <x:v>Ngày/tiền theo contract hiển thị</x:v>
      </x:c>
      <x:c r="C11" s="3" t="str">
        <x:v>P2</x:v>
      </x:c>
      <x:c r="D11" s="3" t="str">
        <x:v>LOC.DATE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Browser sạch/locale cookie; mọi journey trọng yếu được lặp ở en và vi; có query brandIds/items/page và fragment.</x:v>
      </x:c>
      <x:c r="I11" s="3" t="str">
        <x:v>UTC gần nửa đêm; en/vi; SGD/USD</x:v>
      </x:c>
      <x:c r="J11" s="3" t="str">
        <x:v>1. Mở order/RFQ/news/profile với fixture cùng timestamp.</x:v>
      </x:c>
      <x:c r="K11" s="3" t="str">
        <x:v>Không đổi ngày ngoài ý muốn; source order/RFQ dùng UTC en-GB, news theo locale, profile theo locale; tiền tệ đúng mã. Thay đổi format cần PO xác nhận.</x:v>
      </x:c>
      <x:c r="L11" s="3" t="str">
        <x:v>src/i18n/routing.ts:3
src/i18n/locale.ts:5
src/middleware.ts:7</x:v>
      </x:c>
      <x:c r="M11" s="3" t="str">
        <x:v>Đề xuất Integration | Test liên quan, chưa xác nhận phủ ca: src/i18n/locale.test.ts</x:v>
      </x:c>
      <x:c r="N11" s="10" t="str">
        <x:v>Not run</x:v>
      </x:c>
      <x:c r="O11" s="10" t="str">
        <x:v>MỘT PHẦN: Đã kiểm tra helper/path/query và format tương ứng; chưa chạy hết các route/locale và format trong ca.</x:v>
      </x:c>
      <x:c r="P11" s="10" t="str">
        <x:v>execution/results.json → LOC-007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LOC-008</x:v>
      </x:c>
      <x:c r="B12" s="3" t="str">
        <x:v>Locale/route không hỗ trợ</x:v>
      </x:c>
      <x:c r="C12" s="3" t="str">
        <x:v>P2</x:v>
      </x:c>
      <x:c r="D12" s="3" t="str">
        <x:v>LOC.NOTFOUND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Browser sạch/locale cookie; mọi journey trọng yếu được lặp ở en và vi; có query brandIds/items/page và fragment.</x:v>
      </x:c>
      <x:c r="I12" s="3" t="str">
        <x:v>/zz, /vi/no-such-route, slug404</x:v>
      </x:c>
      <x:c r="J12" s="3" t="str">
        <x:v>1. Mở URL.
2. Chọn Back home.</x:v>
      </x:c>
      <x:c r="K12" s="3" t="str">
        <x:v>Không crash; fallback/404 đúng routing; link về Home locale hợp lý; nội dung404 cần bản dịch nếu product yêu cầu.</x:v>
      </x:c>
      <x:c r="L12" s="3" t="str">
        <x:v>src/i18n/routing.ts:3
src/i18n/locale.ts:5
src/middleware.ts:7</x:v>
      </x:c>
      <x:c r="M12" s="3" t="str">
        <x:v>Đề xuất Integration | Test liên quan, chưa xác nhận phủ ca: src/i18n/locale.test.ts</x:v>
      </x:c>
      <x:c r="N12" s="10" t="str">
        <x:v>Not run</x:v>
      </x:c>
      <x:c r="O12" s="10" t="str">
        <x:v>Chưa thực thi đầy đủ các bước/expected của ca. Các test liên quan đã chạy, nhưng chưa có assertion đủ để gán Pass.</x:v>
      </x:c>
      <x:c r="P12" s="10" t="str">
        <x:v>execution/results.json → LOC-008
execution/assertions.json</x:v>
      </x:c>
      <x:c r="Q12" s="10" t="str"/>
      <x:c r="R12" s="11"/>
    </x:row>
  </x:sheetData>
  <x:conditionalFormatting sqref="N5:N12">
    <x:cfRule type="containsText" dxfId="45" priority="1" operator="containsText" text="Fail"/>
    <x:cfRule type="containsText" dxfId="46" priority="2" operator="containsText" text="Blocked"/>
  </x:conditionalFormatting>
  <x:conditionalFormatting sqref="C5:C12">
    <x:cfRule type="containsText" dxfId="47" priority="3" operator="containsText" text="P0"/>
  </x:conditionalFormatting>
  <x:dataValidations count="1">
    <x:dataValidation type="list" sqref="N5:N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051e5c6ee24d4f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SEO — Metadata và khả năng index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94" customHeight="1">
      <x:c r="A5" s="3" t="str">
        <x:v>SEO-001</x:v>
      </x:c>
      <x:c r="B5" s="3" t="str">
        <x:v>Canonical và language alternates</x:v>
      </x:c>
      <x:c r="C5" s="3" t="str">
        <x:v>P2</x:v>
      </x:c>
      <x:c r="D5" s="3" t="str">
        <x:v>SEO.META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Production-like origin sandbox hợp lệ; HTML server và sitemap có thể đọc; fixture public/private products; không gửi submit search engine thật.</x:v>
      </x:c>
      <x:c r="I5" s="3" t="str">
        <x:v>Home/products/category/PDP/news/about/contact/legal; en/vi</x:v>
      </x:c>
      <x:c r="J5" s="3" t="str">
        <x:v>1. Đọc head HTML từng route.
2. So canonical/alternates.</x:v>
      </x:c>
      <x:c r="K5" s="3" t="str">
        <x:v>Canonical tuyệt đối đúng route và locale; en/vi/x-default khớp; title/description có nội dung phù hợp, không kế thừa Home cho detail.</x:v>
      </x:c>
      <x:c r="L5" s="3" t="str">
        <x:v>src/app/sitemap.ts:1
src/app/robots.ts:1
src/app/[locale]/layout.tsx:17</x:v>
      </x:c>
      <x:c r="M5" s="3" t="str">
        <x:v>Đề xuất Integration | Test liên quan, chưa xác nhận phủ ca: src/app/sitemap.test.ts</x:v>
      </x:c>
      <x:c r="N5" s="10" t="str">
        <x:v>Pass</x:v>
      </x:c>
      <x:c r="O5" s="10" t="str">
        <x:v>Locale URL/fragment, message contract, canonical/hreflang và PDP metadata/JSON-LD có assertion trực tiếp đã pass. Browser bổ sung SSR lang và link vi.</x:v>
      </x:c>
      <x:c r="P5" s="10" t="str">
        <x:v>execution/results.json → SEO-001
execution/assertions.json</x:v>
      </x:c>
      <x:c r="Q5" s="10" t="str">
        <x:v>Codex — local automated QA</x:v>
      </x:c>
      <x:c r="R5" s="11" t="d">
        <x:v>2026-10-18T05:30:31.999Z</x:v>
      </x:c>
    </x:row>
    <x:row r="6" ht="94" customHeight="1">
      <x:c r="A6" s="3" t="str">
        <x:v>SEO-002</x:v>
      </x:c>
      <x:c r="B6" s="3" t="str">
        <x:v>Noindex private và auth</x:v>
      </x:c>
      <x:c r="C6" s="3" t="str">
        <x:v>P1</x:v>
      </x:c>
      <x:c r="D6" s="3" t="str">
        <x:v>SEO.PRIVATE</x:v>
      </x:c>
      <x:c r="E6" s="3" t="str">
        <x:v>Security</x:v>
      </x:c>
      <x:c r="F6" s="3" t="str">
        <x:v>Integration</x:v>
      </x:c>
      <x:c r="G6" s="3" t="str">
        <x:v>Source</x:v>
      </x:c>
      <x:c r="H6" s="3" t="str">
        <x:v>Production-like origin sandbox hợp lệ; HTML server và sitemap có thể đọc; fixture public/private products; không gửi submit search engine thật.</x:v>
      </x:c>
      <x:c r="I6" s="3" t="str">
        <x:v>cart,checkout,payment,orders,rfqs,profile,dashboard,login,signup,forgot-password,quote/success</x:v>
      </x:c>
      <x:c r="J6" s="3" t="str">
        <x:v>1. Đọc robots meta.
2. Đọc robots.txt.</x:v>
      </x:c>
      <x:c r="K6" s="3" t="str">
        <x:v>Private routes noindex/nofollow theo source, robots disallow cả en/vi. Robots không được xem là cơ chế authorization.</x:v>
      </x:c>
      <x:c r="L6" s="3" t="str">
        <x:v>src/app/sitemap.ts:1
src/app/robots.ts:1
src/app/[locale]/layout.tsx:17</x:v>
      </x:c>
      <x:c r="M6" s="3" t="str">
        <x:v>Đề xuất Integration | Test liên quan, chưa xác nhận phủ ca: src/app/sitemap.test.ts</x:v>
      </x:c>
      <x:c r="N6" s="10" t="str">
        <x:v>Not run</x:v>
      </x:c>
      <x:c r="O6" s="10" t="str">
        <x:v>Chưa thực thi đầy đủ các bước/expected của ca. Các test liên quan đã chạy, nhưng chưa có assertion đủ để gán Pass.</x:v>
      </x:c>
      <x:c r="P6" s="10" t="str">
        <x:v>execution/results.json → SEO-002
execution/assertions.json</x:v>
      </x:c>
      <x:c r="Q6" s="10" t="str"/>
      <x:c r="R6" s="11"/>
    </x:row>
    <x:row r="7" ht="94" customHeight="1">
      <x:c r="A7" s="3" t="str">
        <x:v>SEO-003</x:v>
      </x:c>
      <x:c r="B7" s="3" t="str">
        <x:v>URL sitemap unique và thật</x:v>
      </x:c>
      <x:c r="C7" s="3" t="str">
        <x:v>P1</x:v>
      </x:c>
      <x:c r="D7" s="3" t="str">
        <x:v>SEO.SITEMAP</x:v>
      </x:c>
      <x:c r="E7" s="3" t="str">
        <x:v>Regression</x:v>
      </x:c>
      <x:c r="F7" s="3" t="str">
        <x:v>Integration</x:v>
      </x:c>
      <x:c r="G7" s="3" t="str">
        <x:v>Quality target</x:v>
      </x:c>
      <x:c r="H7" s="3" t="str">
        <x:v>Production-like origin sandbox hợp lệ; HTML server và sitemap có thể đọc; fixture public/private products; không gửi submit search engine thật.</x:v>
      </x:c>
      <x:c r="I7" s="3" t="str">
        <x:v>Mọi entry sitemap</x:v>
      </x:c>
      <x:c r="J7" s="3" t="str">
        <x:v>1. Parse XML.
2. Fetch sample và mọi product entry khi kiểm tra release.</x:v>
      </x:c>
      <x:c r="K7" s="3" t="str">
        <x:v>URL unique, canonical200, đúng locale, không private route; product id demo trong sitemap phải resolve được tới detail API/slug thật.
Dependency / lưu ý: Sitemap hiện lấy products-data local trong khi PDP đọc API theo slug.</x:v>
      </x:c>
      <x:c r="L7" s="3" t="str">
        <x:v>src/app/sitemap.ts:1
src/app/robots.ts:1
src/app/[locale]/layout.tsx:17</x:v>
      </x:c>
      <x:c r="M7" s="3" t="str">
        <x:v>Đề xuất Integration | Test liên quan, chưa xác nhận phủ ca: src/app/sitemap.test.ts</x:v>
      </x:c>
      <x:c r="N7" s="10" t="str">
        <x:v>Pass</x:v>
      </x:c>
      <x:c r="O7" s="10" t="str">
        <x:v>Assertion gắn ID đã pass qua UI/service boundary hoặc rule tương ứng; xem tên assertion trong assertions.json.</x:v>
      </x:c>
      <x:c r="P7" s="10" t="str">
        <x:v>FIX-12
execution/results.json → SEO-003
execution/browser-results.json
execution/assertions.json</x:v>
      </x:c>
      <x:c r="Q7" s="10" t="str">
        <x:v>Codex — local automated QA</x:v>
      </x:c>
      <x:c r="R7" s="11" t="d">
        <x:v>2026-10-18T05:30:31.999Z</x:v>
      </x:c>
    </x:row>
    <x:row r="8" ht="94" customHeight="1">
      <x:c r="A8" s="3" t="str">
        <x:v>SEO-004</x:v>
      </x:c>
      <x:c r="B8" s="3" t="str">
        <x:v>LastModified và locale links</x:v>
      </x:c>
      <x:c r="C8" s="3" t="str">
        <x:v>P2</x:v>
      </x:c>
      <x:c r="D8" s="3" t="str">
        <x:v>SEO.SITEMAP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Production-like origin sandbox hợp lệ; HTML server và sitemap có thể đọc; fixture public/private products; không gửi submit search engine thật.</x:v>
      </x:c>
      <x:c r="I8" s="3" t="str">
        <x:v>News local có publishedAt; product không timestamp</x:v>
      </x:c>
      <x:c r="J8" s="3" t="str">
        <x:v>1. So sitemap với source.</x:v>
      </x:c>
      <x:c r="K8" s="3" t="str">
        <x:v>Chỉ lastModified có bằng chứng (news date); không gắn now cho mọi URL; language URLs absolute và không trùng.</x:v>
      </x:c>
      <x:c r="L8" s="3" t="str">
        <x:v>src/app/sitemap.ts:1
src/app/robots.ts:1
src/app/[locale]/layout.tsx:17</x:v>
      </x:c>
      <x:c r="M8" s="3" t="str">
        <x:v>Đề xuất Integration | Test liên quan, chưa xác nhận phủ ca: src/app/sitemap.test.ts</x:v>
      </x:c>
      <x:c r="N8" s="10" t="str">
        <x:v>Pass</x:v>
      </x:c>
      <x:c r="O8" s="10" t="str">
        <x:v>Locale URL/fragment, message contract, canonical/hreflang và PDP metadata/JSON-LD có assertion trực tiếp đã pass. Browser bổ sung SSR lang và link vi.</x:v>
      </x:c>
      <x:c r="P8" s="10" t="str">
        <x:v>execution/results.json → SEO-004
execution/browser-results.json
execution/assertions.json</x:v>
      </x:c>
      <x:c r="Q8" s="10" t="str">
        <x:v>Codex — local automated QA</x:v>
      </x:c>
      <x:c r="R8" s="11" t="d">
        <x:v>2026-10-18T05:30:31.999Z</x:v>
      </x:c>
    </x:row>
    <x:row r="9" ht="94" customHeight="1">
      <x:c r="A9" s="3" t="str">
        <x:v>SEO-005</x:v>
      </x:c>
      <x:c r="B9" s="3" t="str">
        <x:v>Product offer khớp giá người dùng thấy</x:v>
      </x:c>
      <x:c r="C9" s="3" t="str">
        <x:v>P1</x:v>
      </x:c>
      <x:c r="D9" s="3" t="str">
        <x:v>SEO.JSONLD</x:v>
      </x:c>
      <x:c r="E9" s="3" t="str">
        <x:v>Regression</x:v>
      </x:c>
      <x:c r="F9" s="3" t="str">
        <x:v>Integration</x:v>
      </x:c>
      <x:c r="G9" s="3" t="str">
        <x:v>Quality target</x:v>
      </x:c>
      <x:c r="H9" s="3" t="str">
        <x:v>Production-like origin sandbox hợp lệ; HTML server và sitemap có thể đọc; fixture public/private products; không gửi submit search engine thật.</x:v>
      </x:c>
      <x:c r="I9" s="3" t="str">
        <x:v>unitPrice1250,promo25%; hidden/null price</x:v>
      </x:c>
      <x:c r="J9" s="3" t="str">
        <x:v>1. Đọc JSON-LD và UI PDP.
2. So giá,currency,stock.</x:v>
      </x:c>
      <x:c r="K9" s="3" t="str">
        <x:v>Offer dùng giá bán thực937.50 khi có promotion; không xuất price null hoặc giá ẩn; availability đúng variant đang đại diện.
Dependency / lưu ý: Source JSON-LD đang dùng variant.unitPrice, UI dùng promotional price.</x:v>
      </x:c>
      <x:c r="L9" s="3" t="str">
        <x:v>src/app/sitemap.ts:1
src/app/robots.ts:1
src/app/[locale]/layout.tsx:17</x:v>
      </x:c>
      <x:c r="M9" s="3" t="str">
        <x:v>Đề xuất Integration | Test liên quan, chưa xác nhận phủ ca: src/app/sitemap.test.ts</x:v>
      </x:c>
      <x:c r="N9" s="10" t="str">
        <x:v>Pass</x:v>
      </x:c>
      <x:c r="O9" s="10" t="str">
        <x:v>Locale URL/fragment, message contract, canonical/hreflang và PDP metadata/JSON-LD có assertion trực tiếp đã pass. Browser bổ sung SSR lang và link vi.</x:v>
      </x:c>
      <x:c r="P9" s="10" t="str">
        <x:v>FIX-16
execution/results.json → SEO-005
execution/browser-results.json
execution/assertions.json</x:v>
      </x:c>
      <x:c r="Q9" s="10" t="str">
        <x:v>Codex — local automated QA</x:v>
      </x:c>
      <x:c r="R9" s="11" t="d">
        <x:v>2026-10-18T05:30:31.999Z</x:v>
      </x:c>
    </x:row>
    <x:row r="10" ht="94" customHeight="1">
      <x:c r="A10" s="3" t="str">
        <x:v>SEO-006</x:v>
      </x:c>
      <x:c r="B10" s="3" t="str">
        <x:v>Escape và nội dung structured data</x:v>
      </x:c>
      <x:c r="C10" s="3" t="str">
        <x:v>P1</x:v>
      </x:c>
      <x:c r="D10" s="3" t="str">
        <x:v>SEO.JSONLD</x:v>
      </x:c>
      <x:c r="E10" s="3" t="str">
        <x:v>Security</x:v>
      </x:c>
      <x:c r="F10" s="3" t="str">
        <x:v>Integration</x:v>
      </x:c>
      <x:c r="G10" s="3" t="str">
        <x:v>Source</x:v>
      </x:c>
      <x:c r="H10" s="3" t="str">
        <x:v>Production-like origin sandbox hợp lệ; HTML server và sitemap có thể đọc; fixture public/private products; không gửi submit search engine thật.</x:v>
      </x:c>
      <x:c r="I10" s="3" t="str">
        <x:v>Name/title có &lt;/script&gt;&lt;script&gt;…; Organization/NewsArticle</x:v>
      </x:c>
      <x:c r="J10" s="3" t="str">
        <x:v>1. Render fixture string độc hại.
2. Parse script JSON-LD.</x:v>
      </x:c>
      <x:c r="K10" s="3" t="str">
        <x:v>JSON hợp lệ, &lt; được escape; không tạo script executable; tên/url/date/image đúng dữ liệu hiển thị.</x:v>
      </x:c>
      <x:c r="L10" s="3" t="str">
        <x:v>src/app/sitemap.ts:1
src/app/robots.ts:1
src/app/[locale]/layout.tsx:17</x:v>
      </x:c>
      <x:c r="M10" s="3" t="str">
        <x:v>Đề xuất Integration | Test liên quan, chưa xác nhận phủ ca: src/app/sitemap.test.ts</x:v>
      </x:c>
      <x:c r="N10" s="10" t="str">
        <x:v>Pass</x:v>
      </x:c>
      <x:c r="O10" s="10" t="str">
        <x:v>Locale URL/fragment, message contract, canonical/hreflang và PDP metadata/JSON-LD có assertion trực tiếp đã pass. Browser bổ sung SSR lang và link vi.</x:v>
      </x:c>
      <x:c r="P10" s="10" t="str">
        <x:v>execution/results.json → SEO-006
execution/browser-results.json
execution/assertions.json</x:v>
      </x:c>
      <x:c r="Q10" s="10" t="str">
        <x:v>Codex — local automated QA</x:v>
      </x:c>
      <x:c r="R10" s="11" t="d">
        <x:v>2026-10-18T05:30:31.999Z</x:v>
      </x:c>
    </x:row>
    <x:row r="11" ht="94" customHeight="1">
      <x:c r="A11" s="3" t="str">
        <x:v>SEO-007</x:v>
      </x:c>
      <x:c r="B11" s="3" t="str">
        <x:v>OG ảnh và URL theo locale</x:v>
      </x:c>
      <x:c r="C11" s="3" t="str">
        <x:v>P2</x:v>
      </x:c>
      <x:c r="D11" s="3" t="str">
        <x:v>SEO.OG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Production-like origin sandbox hợp lệ; HTML server và sitemap có thể đọc; fixture public/private products; không gửi submit search engine thật.</x:v>
      </x:c>
      <x:c r="I11" s="3" t="str">
        <x:v>PDP media tuyệt đối, news hero fallback</x:v>
      </x:c>
      <x:c r="J11" s="3" t="str">
        <x:v>1. Đọc OG cho en/vi.
2. Kiểm tra asset URL.</x:v>
      </x:c>
      <x:c r="K11" s="3" t="str">
        <x:v>OG image truy cập được, alt đúng, type article/news và publishedTime đúng; locale en_SG/vi_VN theo source.</x:v>
      </x:c>
      <x:c r="L11" s="3" t="str">
        <x:v>src/app/sitemap.ts:1
src/app/robots.ts:1
src/app/[locale]/layout.tsx:17</x:v>
      </x:c>
      <x:c r="M11" s="3" t="str">
        <x:v>Đề xuất Integration | Test liên quan, chưa xác nhận phủ ca: src/app/sitemap.test.ts</x:v>
      </x:c>
      <x:c r="N11" s="10" t="str">
        <x:v>Pass</x:v>
      </x:c>
      <x:c r="O11" s="10" t="str">
        <x:v>Locale URL/fragment, message contract, canonical/hreflang và PDP metadata/JSON-LD có assertion trực tiếp đã pass. Browser bổ sung SSR lang và link vi.</x:v>
      </x:c>
      <x:c r="P11" s="10" t="str">
        <x:v>execution/results.json → SEO-007
execution/assertions.json</x:v>
      </x:c>
      <x:c r="Q11" s="10" t="str">
        <x:v>Codex — local automated QA</x:v>
      </x:c>
      <x:c r="R11" s="11" t="d">
        <x:v>2026-10-18T05:30:31.999Z</x:v>
      </x:c>
    </x:row>
    <x:row r="12" ht="94" customHeight="1">
      <x:c r="A12" s="3" t="str">
        <x:v>SEO-008</x:v>
      </x:c>
      <x:c r="B12" s="3" t="str">
        <x:v>Public content trước JavaScript</x:v>
      </x:c>
      <x:c r="C12" s="3" t="str">
        <x:v>P2</x:v>
      </x:c>
      <x:c r="D12" s="3" t="str">
        <x:v>SEO.RENDER</x:v>
      </x:c>
      <x:c r="E12" s="3" t="str">
        <x:v>Functional</x:v>
      </x:c>
      <x:c r="F12" s="3" t="str">
        <x:v>Browser</x:v>
      </x:c>
      <x:c r="G12" s="3" t="str">
        <x:v>Source</x:v>
      </x:c>
      <x:c r="H12" s="3" t="str">
        <x:v>Production-like origin sandbox hợp lệ; HTML server và sitemap có thể đọc; fixture public/private products; không gửi submit search engine thật.</x:v>
      </x:c>
      <x:c r="I12" s="3" t="str">
        <x:v>Disable JS; Home/catalog/PDP/news</x:v>
      </x:c>
      <x:c r="J12" s="3" t="str">
        <x:v>1. Load route không JS.
2. Đọc content/text/link.</x:v>
      </x:c>
      <x:c r="K12" s="3" t="str">
        <x:v>Content chính, metadata và link có trong HTML server; tương tác client không được dùng để khẳng định nội dung indexable.</x:v>
      </x:c>
      <x:c r="L12" s="3" t="str">
        <x:v>src/app/sitemap.ts:1
src/app/robots.ts:1
src/app/[locale]/layout.tsx:17</x:v>
      </x:c>
      <x:c r="M12" s="3" t="str">
        <x:v>Đề xuất Browser | Test liên quan, chưa xác nhận phủ ca: src/app/sitemap.test.ts</x:v>
      </x:c>
      <x:c r="N12" s="10" t="str">
        <x:v>Pass</x:v>
      </x:c>
      <x:c r="O12" s="10" t="str">
        <x:v>Assertion gắn ID đã pass qua UI/service boundary hoặc rule tương ứng; xem tên assertion trong assertions.json.</x:v>
      </x:c>
      <x:c r="P12" s="10" t="str">
        <x:v>FIX-14
execution/results.json → SEO-008
execution/browser-results.json
execution/assertions.json</x:v>
      </x:c>
      <x:c r="Q12" s="10" t="str">
        <x:v>Codex — local automated QA</x:v>
      </x:c>
      <x:c r="R12" s="11" t="d">
        <x:v>2026-10-18T05:30:31.999Z</x:v>
      </x:c>
    </x:row>
  </x:sheetData>
  <x:conditionalFormatting sqref="N5:N12">
    <x:cfRule type="containsText" dxfId="48" priority="1" operator="containsText" text="Fail"/>
    <x:cfRule type="containsText" dxfId="49" priority="2" operator="containsText" text="Blocked"/>
  </x:conditionalFormatting>
  <x:conditionalFormatting sqref="C5:C12">
    <x:cfRule type="containsText" dxfId="50" priority="3" operator="containsText" text="P0"/>
  </x:conditionalFormatting>
  <x:dataValidations count="1">
    <x:dataValidation type="list" sqref="N5:N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c7a611ac04d7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E2E — Hành trình xuyên module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102" customHeight="1">
      <x:c r="A5" s="3" t="str">
        <x:v>E2E-001</x:v>
      </x:c>
      <x:c r="B5" s="3" t="str">
        <x:v>Guest khám phá và đăng nhập</x:v>
      </x:c>
      <x:c r="C5" s="3" t="str">
        <x:v>P0</x:v>
      </x:c>
      <x:c r="D5" s="3" t="str">
        <x:v>E2E.SMOKE</x:v>
      </x:c>
      <x:c r="E5" s="3" t="str">
        <x:v>Functional</x:v>
      </x:c>
      <x:c r="F5" s="3" t="str">
        <x:v>E2E</x:v>
      </x:c>
      <x:c r="G5" s="3" t="str">
        <x:v>Source</x:v>
      </x:c>
      <x:c r="H5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5" s="3" t="str">
        <x:v>DS-CATALOG + DS-AUTH.A</x:v>
      </x:c>
      <x:c r="J5" s="3" t="str">
        <x:v>1. Home -&gt; category -&gt; PDP.
2. Login.
3. Quay Home/header/profile.</x:v>
      </x:c>
      <x:c r="K5" s="3" t="str">
        <x:v>Navigation đúng locale, nội dung đúng, account đúngA; không mất thao tác hoặc lộ cache user khác.</x:v>
      </x:c>
      <x:c r="L5" s="3" t="str">
        <x:v>src/app:1
src/features/auth:1
src/features/products:1</x:v>
      </x:c>
      <x:c r="M5" s="3" t="str">
        <x:v>Đề xuất E2E | Chưa có test đồng vị trí cho hành vi này</x:v>
      </x:c>
      <x:c r="N5" s="10" t="str">
        <x:v>Blocked</x:v>
      </x:c>
      <x:c r="O5" s="10" t="str">
        <x:v>Chưa có sandbox URL/tài khoản A–B, OTP/email và quyền chạy giao dịch thật. Luồng local dùng spy/fixture chỉ xác minh frontend, không chứng minh E2E thật.</x:v>
      </x:c>
      <x:c r="P5" s="10" t="str">
        <x:v>execution/results.json → E2E-001
execution/assertions.json</x:v>
      </x:c>
      <x:c r="Q5" s="10" t="str">
        <x:v>Codex — local automated QA</x:v>
      </x:c>
      <x:c r="R5" s="11"/>
    </x:row>
    <x:row r="6" ht="102" customHeight="1">
      <x:c r="A6" s="3" t="str">
        <x:v>E2E-002</x:v>
      </x:c>
      <x:c r="B6" s="3" t="str">
        <x:v>Mua sản phẩm từ PDP tới orders</x:v>
      </x:c>
      <x:c r="C6" s="3" t="str">
        <x:v>P0</x:v>
      </x:c>
      <x:c r="D6" s="3" t="str">
        <x:v>E2E.BUY</x:v>
      </x:c>
      <x:c r="E6" s="3" t="str">
        <x:v>Functional</x:v>
      </x:c>
      <x:c r="F6" s="3" t="str">
        <x:v>E2E</x:v>
      </x:c>
      <x:c r="G6" s="3" t="str">
        <x:v>Integration contract</x:v>
      </x:c>
      <x:c r="H6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6" s="3" t="str">
        <x:v>DS-PRODUCT bán được; DS-CHECKOUT; provider sandbox</x:v>
      </x:c>
      <x:c r="J6" s="3" t="str">
        <x:v>1. Chọn variant và quantity.
2. Buy now -&gt; checkout.
3. Xác nhận payment sandbox.
4. Mở orders/detail.</x:v>
      </x:c>
      <x:c r="K6" s="3" t="str">
        <x:v>Cùng variant/qty/tổng/currency qua mọi bước; một order thuộcA, backend paid đúng; cart phản ánh item đã xử lý theo contract.
Dependency / lưu ý: BLOCKER checkout/payment API chưa tích hợp.</x:v>
      </x:c>
      <x:c r="L6" s="3" t="str">
        <x:v>src/app:1
src/features/auth:1
src/features/products:1</x:v>
      </x:c>
      <x:c r="M6" s="3" t="str">
        <x:v>Đề xuất E2E | Chưa có test đồng vị trí cho hành vi này</x:v>
      </x:c>
      <x:c r="N6" s="10" t="str">
        <x:v>Blocked</x:v>
      </x:c>
      <x:c r="O6" s="10" t="str">
        <x:v>Chưa có sandbox URL/tài khoản A–B, OTP/email và quyền chạy giao dịch thật. Luồng local dùng spy/fixture chỉ xác minh frontend, không chứng minh E2E thật.</x:v>
      </x:c>
      <x:c r="P6" s="10" t="str">
        <x:v>execution/results.json → E2E-002
execution/assertions.json</x:v>
      </x:c>
      <x:c r="Q6" s="10" t="str">
        <x:v>Codex — local automated QA</x:v>
      </x:c>
      <x:c r="R6" s="11"/>
    </x:row>
    <x:row r="7" ht="102" customHeight="1">
      <x:c r="A7" s="3" t="str">
        <x:v>E2E-003</x:v>
      </x:c>
      <x:c r="B7" s="3" t="str">
        <x:v>Quote từ sản phẩm giá ẩn</x:v>
      </x:c>
      <x:c r="C7" s="3" t="str">
        <x:v>P0</x:v>
      </x:c>
      <x:c r="D7" s="3" t="str">
        <x:v>E2E.QUOTE</x:v>
      </x:c>
      <x:c r="E7" s="3" t="str">
        <x:v>Functional</x:v>
      </x:c>
      <x:c r="F7" s="3" t="str">
        <x:v>E2E</x:v>
      </x:c>
      <x:c r="G7" s="3" t="str">
        <x:v>Integration contract</x:v>
      </x:c>
      <x:c r="H7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7" s="3" t="str">
        <x:v>DS-PRODUCT.HIDDEN; DS-CONTACT.QUOTE</x:v>
      </x:c>
      <x:c r="J7" s="3" t="str">
        <x:v>1. Request quote từ PDP.
2. Kiểm tra ngữ cảnh product.
3. Submit.
4. Đối chiếu record quote backend.</x:v>
      </x:c>
      <x:c r="K7" s="3" t="str">
        <x:v>Không lộ giá; quote đúng product/contact; không báo thành công giả; xuất hiện RFQ nếu contract quy định.
Dependency / lưu ý: BLOCKER contact API và ngữ cảnh product chưa tích hợp.</x:v>
      </x:c>
      <x:c r="L7" s="3" t="str">
        <x:v>src/app:1
src/features/auth:1
src/features/products:1</x:v>
      </x:c>
      <x:c r="M7" s="3" t="str">
        <x:v>Đề xuất E2E | Chưa có test đồng vị trí cho hành vi này</x:v>
      </x:c>
      <x:c r="N7" s="10" t="str">
        <x:v>Blocked</x:v>
      </x:c>
      <x:c r="O7" s="10" t="str">
        <x:v>Chưa có sandbox URL/tài khoản A–B, OTP/email và quyền chạy giao dịch thật. Luồng local dùng spy/fixture chỉ xác minh frontend, không chứng minh E2E thật.</x:v>
      </x:c>
      <x:c r="P7" s="10" t="str">
        <x:v>execution/results.json → E2E-003
execution/assertions.json</x:v>
      </x:c>
      <x:c r="Q7" s="10" t="str">
        <x:v>Codex — local automated QA</x:v>
      </x:c>
      <x:c r="R7" s="11"/>
    </x:row>
    <x:row r="8" ht="102" customHeight="1">
      <x:c r="A8" s="3" t="str">
        <x:v>E2E-004</x:v>
      </x:c>
      <x:c r="B8" s="3" t="str">
        <x:v>Quote từ cart được chọn một phần</x:v>
      </x:c>
      <x:c r="C8" s="3" t="str">
        <x:v>P0</x:v>
      </x:c>
      <x:c r="D8" s="3" t="str">
        <x:v>E2E.QUOTE</x:v>
      </x:c>
      <x:c r="E8" s="3" t="str">
        <x:v>Functional</x:v>
      </x:c>
      <x:c r="F8" s="3" t="str">
        <x:v>E2E</x:v>
      </x:c>
      <x:c r="G8" s="3" t="str">
        <x:v>Integration contract</x:v>
      </x:c>
      <x:c r="H8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8" s="3" t="str">
        <x:v>DS-CART; chỉI2</x:v>
      </x:c>
      <x:c r="J8" s="3" t="str">
        <x:v>1. Chọn I2 -&gt; Request quote.
2. Sửa quantity -&gt; submit.
3. Mở RFQs/detail.</x:v>
      </x:c>
      <x:c r="K8" s="3" t="str">
        <x:v>Quote/RFQ chỉ chứaI2 và quantity xác nhận mới; reference thực khớp; không cóitemI1.
Dependency / lưu ý: BLOCKER quote write API chưa tích hợp.</x:v>
      </x:c>
      <x:c r="L8" s="3" t="str">
        <x:v>src/app:1
src/features/auth:1
src/features/products:1</x:v>
      </x:c>
      <x:c r="M8" s="3" t="str">
        <x:v>Đề xuất E2E | Chưa có test đồng vị trí cho hành vi này</x:v>
      </x:c>
      <x:c r="N8" s="10" t="str">
        <x:v>Blocked</x:v>
      </x:c>
      <x:c r="O8" s="10" t="str">
        <x:v>Chưa có sandbox URL/tài khoản A–B, OTP/email và quyền chạy giao dịch thật. Luồng local dùng spy/fixture chỉ xác minh frontend, không chứng minh E2E thật.</x:v>
      </x:c>
      <x:c r="P8" s="10" t="str">
        <x:v>execution/results.json → E2E-004
execution/assertions.json</x:v>
      </x:c>
      <x:c r="Q8" s="10" t="str">
        <x:v>Codex — local automated QA</x:v>
      </x:c>
      <x:c r="R8" s="11"/>
    </x:row>
    <x:row r="9" ht="102" customHeight="1">
      <x:c r="A9" s="3" t="str">
        <x:v>E2E-005</x:v>
      </x:c>
      <x:c r="B9" s="3" t="str">
        <x:v>Signup -&gt; login -&gt; cập nhật profile/avatar</x:v>
      </x:c>
      <x:c r="C9" s="3" t="str">
        <x:v>P0</x:v>
      </x:c>
      <x:c r="D9" s="3" t="str">
        <x:v>E2E.ACCOUNT</x:v>
      </x:c>
      <x:c r="E9" s="3" t="str">
        <x:v>Functional</x:v>
      </x:c>
      <x:c r="F9" s="3" t="str">
        <x:v>E2E</x:v>
      </x:c>
      <x:c r="G9" s="3" t="str">
        <x:v>Source</x:v>
      </x:c>
      <x:c r="H9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9" s="3" t="str">
        <x:v>DS-AUTH.NEW; OTP sandbox; PNG hợp lệ</x:v>
      </x:c>
      <x:c r="J9" s="3" t="str">
        <x:v>1. Signup3bước.
2. Login.
3. Edit profile/avatar.
4. Reload và logout.</x:v>
      </x:c>
      <x:c r="K9" s="3" t="str">
        <x:v>Tài khoản thật được tạo; dữ liệu lưu backend và giữ sau reload; logout xóa phiên/private cache.</x:v>
      </x:c>
      <x:c r="L9" s="3" t="str">
        <x:v>src/app:1
src/features/auth:1
src/features/products:1</x:v>
      </x:c>
      <x:c r="M9" s="3" t="str">
        <x:v>Đề xuất E2E | Chưa có test đồng vị trí cho hành vi này</x:v>
      </x:c>
      <x:c r="N9" s="10" t="str">
        <x:v>Blocked</x:v>
      </x:c>
      <x:c r="O9" s="10" t="str">
        <x:v>Chưa có sandbox URL/tài khoản A–B, OTP/email và quyền chạy giao dịch thật. Luồng local dùng spy/fixture chỉ xác minh frontend, không chứng minh E2E thật.</x:v>
      </x:c>
      <x:c r="P9" s="10" t="str">
        <x:v>execution/results.json → E2E-005
execution/assertions.json</x:v>
      </x:c>
      <x:c r="Q9" s="10" t="str">
        <x:v>Codex — local automated QA</x:v>
      </x:c>
      <x:c r="R9" s="11"/>
    </x:row>
    <x:row r="10" ht="102" customHeight="1">
      <x:c r="A10" s="3" t="str">
        <x:v>E2E-006</x:v>
      </x:c>
      <x:c r="B10" s="3" t="str">
        <x:v>Reset mật khẩu -&gt; login mật khẩu mới</x:v>
      </x:c>
      <x:c r="C10" s="3" t="str">
        <x:v>P0</x:v>
      </x:c>
      <x:c r="D10" s="3" t="str">
        <x:v>E2E.RESET</x:v>
      </x:c>
      <x:c r="E10" s="3" t="str">
        <x:v>Functional</x:v>
      </x:c>
      <x:c r="F10" s="3" t="str">
        <x:v>E2E</x:v>
      </x:c>
      <x:c r="G10" s="3" t="str">
        <x:v>Source</x:v>
      </x:c>
      <x:c r="H10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0" s="3" t="str">
        <x:v>User sandbox có thể reset</x:v>
      </x:c>
      <x:c r="J10" s="3" t="str">
        <x:v>1. Forgot3bước.
2. Login bằng password cũ rồi mới.</x:v>
      </x:c>
      <x:c r="K10" s="3" t="str">
        <x:v>Password cũ bị từ chối theo backend; mới đăng nhập được; OTP/challenge không reuse; không lộ password trong URL/log.</x:v>
      </x:c>
      <x:c r="L10" s="3" t="str">
        <x:v>src/app:1
src/features/auth:1
src/features/products:1</x:v>
      </x:c>
      <x:c r="M10" s="3" t="str">
        <x:v>Đề xuất E2E | Chưa có test đồng vị trí cho hành vi này</x:v>
      </x:c>
      <x:c r="N10" s="10" t="str">
        <x:v>Blocked</x:v>
      </x:c>
      <x:c r="O10" s="10" t="str">
        <x:v>Chưa có sandbox URL/tài khoản A–B, OTP/email và quyền chạy giao dịch thật. Luồng local dùng spy/fixture chỉ xác minh frontend, không chứng minh E2E thật.</x:v>
      </x:c>
      <x:c r="P10" s="10" t="str">
        <x:v>execution/results.json → E2E-006
execution/assertions.json</x:v>
      </x:c>
      <x:c r="Q10" s="10" t="str">
        <x:v>Codex — local automated QA</x:v>
      </x:c>
      <x:c r="R10" s="11"/>
    </x:row>
    <x:row r="11" ht="102" customHeight="1">
      <x:c r="A11" s="3" t="str">
        <x:v>E2E-007</x:v>
      </x:c>
      <x:c r="B11" s="3" t="str">
        <x:v>Phiên hết hạn khi đang mua hàng</x:v>
      </x:c>
      <x:c r="C11" s="3" t="str">
        <x:v>P0</x:v>
      </x:c>
      <x:c r="D11" s="3" t="str">
        <x:v>E2E.SESSION</x:v>
      </x:c>
      <x:c r="E11" s="3" t="str">
        <x:v>Functional</x:v>
      </x:c>
      <x:c r="F11" s="3" t="str">
        <x:v>E2E</x:v>
      </x:c>
      <x:c r="G11" s="3" t="str">
        <x:v>Security target</x:v>
      </x:c>
      <x:c r="H11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1" s="3" t="str">
        <x:v>A đang checkout/cart; access expired, refresh revoked</x:v>
      </x:c>
      <x:c r="J11" s="3" t="str">
        <x:v>1. Trigger read/mutation.
2. Trở lại login.
3. LoginB.</x:v>
      </x:c>
      <x:c r="K11" s="3" t="str">
        <x:v>Không hoàn tất giao dịch giả; dữ liệuA được xóa;B chỉ thấy cart/profile/recordsB; không auto retry giao dịch củaA.</x:v>
      </x:c>
      <x:c r="L11" s="3" t="str">
        <x:v>src/app:1
src/features/auth:1
src/features/products:1</x:v>
      </x:c>
      <x:c r="M11" s="3" t="str">
        <x:v>Đề xuất E2E | Chưa có test đồng vị trí cho hành vi này</x:v>
      </x:c>
      <x:c r="N11" s="10" t="str">
        <x:v>Blocked</x:v>
      </x:c>
      <x:c r="O11" s="10" t="str">
        <x:v>Chưa có sandbox URL/tài khoản A–B, OTP/email và quyền chạy giao dịch thật. Luồng local dùng spy/fixture chỉ xác minh frontend, không chứng minh E2E thật.</x:v>
      </x:c>
      <x:c r="P11" s="10" t="str">
        <x:v>execution/results.json → E2E-007
execution/assertions.json</x:v>
      </x:c>
      <x:c r="Q11" s="10" t="str">
        <x:v>Codex — local automated QA</x:v>
      </x:c>
      <x:c r="R11" s="11"/>
    </x:row>
    <x:row r="12" ht="102" customHeight="1">
      <x:c r="A12" s="3" t="str">
        <x:v>E2E-008</x:v>
      </x:c>
      <x:c r="B12" s="3" t="str">
        <x:v>Hành trình mua và báo giá tiếng Việt</x:v>
      </x:c>
      <x:c r="C12" s="3" t="str">
        <x:v>P1</x:v>
      </x:c>
      <x:c r="D12" s="3" t="str">
        <x:v>E2E.LOCALE</x:v>
      </x:c>
      <x:c r="E12" s="3" t="str">
        <x:v>Functional</x:v>
      </x:c>
      <x:c r="F12" s="3" t="str">
        <x:v>E2E</x:v>
      </x:c>
      <x:c r="G12" s="3" t="str">
        <x:v>Integration contract</x:v>
      </x:c>
      <x:c r="H12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2" s="3" t="str">
        <x:v>Localevi; cart và product hợp lệ</x:v>
      </x:c>
      <x:c r="J12" s="3" t="str">
        <x:v>1. Lặp BUY/QUOTE trongvi.
2. Đổi locale giữa luồng.</x:v>
      </x:c>
      <x:c r="K12" s="3" t="str">
        <x:v>Giữ route/query/item selection và không gửi data sai; labels/error đúng locale đã thống nhất; không quay en ngoài ý muốn.</x:v>
      </x:c>
      <x:c r="L12" s="3" t="str">
        <x:v>src/app:1
src/features/auth:1
src/features/products:1</x:v>
      </x:c>
      <x:c r="M12" s="3" t="str">
        <x:v>Đề xuất E2E | Chưa có test đồng vị trí cho hành vi này</x:v>
      </x:c>
      <x:c r="N12" s="10" t="str">
        <x:v>Blocked</x:v>
      </x:c>
      <x:c r="O12" s="10" t="str">
        <x:v>Chưa có sandbox URL/tài khoản A–B, OTP/email và quyền chạy giao dịch thật. Luồng local dùng spy/fixture chỉ xác minh frontend, không chứng minh E2E thật.</x:v>
      </x:c>
      <x:c r="P12" s="10" t="str">
        <x:v>execution/results.json → E2E-008
execution/assertions.json</x:v>
      </x:c>
      <x:c r="Q12" s="10" t="str">
        <x:v>Codex — local automated QA</x:v>
      </x:c>
      <x:c r="R12" s="11"/>
    </x:row>
    <x:row r="13" ht="102" customHeight="1">
      <x:c r="A13" s="3" t="str">
        <x:v>E2E-009</x:v>
      </x:c>
      <x:c r="B13" s="3" t="str">
        <x:v>Hoàn thành luồng chỉ bằng keyboard</x:v>
      </x:c>
      <x:c r="C13" s="3" t="str">
        <x:v>P1</x:v>
      </x:c>
      <x:c r="D13" s="3" t="str">
        <x:v>E2E.KEYBOARD</x:v>
      </x:c>
      <x:c r="E13" s="3" t="str">
        <x:v>Accessibility</x:v>
      </x:c>
      <x:c r="F13" s="3" t="str">
        <x:v>Manual E2E</x:v>
      </x:c>
      <x:c r="G13" s="3" t="str">
        <x:v>Quality target</x:v>
      </x:c>
      <x:c r="H13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3" s="3" t="str">
        <x:v>Guest -&gt; login -&gt; PDP -&gt; cart -&gt; profile</x:v>
      </x:c>
      <x:c r="J13" s="3" t="str">
        <x:v>1. Dùng Tab/ShiftTab/Enter/Space/Arrow/Escape.
2. Mở menu/picker/dialog, pause carousel.</x:v>
      </x:c>
      <x:c r="K13" s="3" t="str">
        <x:v>Mọi control cần thiết có thể thao tác và focus visible; không focus trap ngoài modal; thông báo lỗi đủ để sửa và hoàn thành.</x:v>
      </x:c>
      <x:c r="L13" s="3" t="str">
        <x:v>src/app:1
src/features/auth:1
src/features/products:1</x:v>
      </x:c>
      <x:c r="M13" s="3" t="str">
        <x:v>Đề xuất Manual E2E | Chưa có test đồng vị trí cho hành vi này</x:v>
      </x:c>
      <x:c r="N13" s="10" t="str">
        <x:v>Blocked</x:v>
      </x:c>
      <x:c r="O13" s="10" t="str">
        <x:v>Chưa có sandbox URL/tài khoản A–B, OTP/email và quyền chạy giao dịch thật. Luồng local dùng spy/fixture chỉ xác minh frontend, không chứng minh E2E thật.</x:v>
      </x:c>
      <x:c r="P13" s="10" t="str">
        <x:v>execution/results.json → E2E-009
execution/assertions.json</x:v>
      </x:c>
      <x:c r="Q13" s="10" t="str">
        <x:v>Codex — local automated QA</x:v>
      </x:c>
      <x:c r="R13" s="11"/>
    </x:row>
  </x:sheetData>
  <x:conditionalFormatting sqref="N5:N13">
    <x:cfRule type="containsText" dxfId="51" priority="1" operator="containsText" text="Fail"/>
    <x:cfRule type="containsText" dxfId="52" priority="2" operator="containsText" text="Blocked"/>
  </x:conditionalFormatting>
  <x:conditionalFormatting sqref="C5:C13">
    <x:cfRule type="containsText" dxfId="53" priority="3" operator="containsText" text="P0"/>
  </x:conditionalFormatting>
  <x:dataValidations count="1">
    <x:dataValidation type="list" sqref="N5:N1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3a700060534900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110000610351562" hidden="0" customWidth="1"/>
    <x:col min="2" max="2" width="24.440000534057617" hidden="0" customWidth="1"/>
    <x:col min="3" max="3" width="86.66999816894531" hidden="0" customWidth="1"/>
    <x:col min="4" max="4" width="72.22000122070312" hidden="0" customWidth="1"/>
  </x:cols>
  <x:sheetData>
    <x:row r="1">
      <x:c r="A1" s="3"/>
      <x:c r="B1" s="3"/>
      <x:c r="C1" s="3"/>
      <x:c r="D1" s="3"/>
    </x:row>
    <x:row r="2" ht="27" customHeight="1">
      <x:c r="A2" s="5" t="str">
        <x:v>Dữ liệu và môi trường kiểm thử</x:v>
      </x:c>
      <x:c r="B2" s="3"/>
      <x:c r="C2" s="3"/>
      <x:c r="D2" s="3"/>
    </x:row>
    <x:row r="3">
      <x:c r="A3" s="3"/>
      <x:c r="B3" s="3"/>
      <x:c r="C3" s="3"/>
      <x:c r="D3" s="3"/>
    </x:row>
    <x:row r="4" ht="34" customHeight="1">
      <x:c r="A4" s="9" t="str">
        <x:v>Dataset</x:v>
      </x:c>
      <x:c r="B4" s="9" t="str">
        <x:v>Mục đích</x:v>
      </x:c>
      <x:c r="C4" s="9" t="str">
        <x:v>Giá trị fixture / chuẩn bị</x:v>
      </x:c>
      <x:c r="D4" s="9" t="str">
        <x:v>Điều kiện sử dụng</x:v>
      </x:c>
    </x:row>
    <x:row r="5" ht="55.5" customHeight="1">
      <x:c r="A5" s="3" t="str">
        <x:v>DS-AUTH</x:v>
      </x:c>
      <x:c r="B5" s="3" t="str">
        <x:v>A/B và tài khoản mới</x:v>
      </x:c>
      <x:c r="C5" s="3" t="str">
        <x:v>A: qa.a@example.test; B: qa.b@example.test; password test Passw0rd!; NEW: company=QA Lab, fullName=QA Tester, phoneCode=+84, phone=0901234567, email=qa.new@example.test, country=VN, region=HCM, address=123 QA Street</x:v>
      </x:c>
      <x:c r="D5" s="3" t="str">
        <x:v>Chỉ fixture. E2E cần tài khoản/mailbox sandbox có thật do QA quản lý; example.test không nhận OTP. Không seed hay đăng ký tài khoản trong task này.</x:v>
      </x:c>
    </x:row>
    <x:row r="6" ht="71" customHeight="1">
      <x:c r="A6" s="3" t="str">
        <x:v>DS-IDS</x:v>
      </x:c>
      <x:c r="B6" s="3" t="str">
        <x:v>GUID fixture</x:v>
      </x:c>
      <x:c r="C6" s="3" t="str">
        <x:v>P1=11111111-1111-4111-8111-111111111111; V1=22222222-2222-4222-8222-222222222222; I1=33333333-3333-4333-8333-333333333333; C1=44444444-4444-4444-8444-444444444444; B1=55555555-5555-4555-8555-555555555555; V2/I2/C2/B2 thay chữ số cuối bằng6; order GUID=77777777-7777-4777-8777-777777777777; RFQ GUID=88888888-8888-4888-8888-888888888888</x:v>
      </x:c>
      <x:c r="D6" s="3" t="str">
        <x:v>Identifier fixture phải thay bằng ID thật lấy từ API khi chạy E2E. OR-3000 là ID mock, không phải GUID cho orders API.</x:v>
      </x:c>
    </x:row>
    <x:row r="7" ht="40" customHeight="1">
      <x:c r="A7" s="3" t="str">
        <x:v>DS-OTP</x:v>
      </x:c>
      <x:c r="B7" s="3" t="str">
        <x:v>OTP và clock</x:v>
      </x:c>
      <x:c r="C7" s="3" t="str">
        <x:v>Clock T=2026-10-18T02:00:00Z; challengeId GUID; expiresAt=T+61s; code đúng=012345, sai=999999; verified=true/false; resend đổi challengeId</x:v>
      </x:c>
      <x:c r="D7" s="3" t="str">
        <x:v>Dùng fake clock/controlled Promise trong test; giải phóng timer sau mỗi ca. OTP sandbox thật lấy qua kênh được cấp. Không ghi OTP/password vào evidence.</x:v>
      </x:c>
    </x:row>
    <x:row r="8" ht="40" customHeight="1">
      <x:c r="A8" s="3" t="str">
        <x:v>DS-HOME</x:v>
      </x:c>
      <x:c r="B8" s="3" t="str">
        <x:v>Aggregate homepage</x:v>
      </x:c>
      <x:c r="C8" s="3" t="str">
        <x:v>banners Left/Right với sort đảo; topCategories2 item; newestProducts3 (1 outstanding), personalizedOffers2, testimonials2 rating3.5/5,1 avatar null; topBrands tùy ý</x:v>
      </x:c>
      <x:c r="D8" s="3" t="str">
        <x:v>Các mảng và field còn lại đúng homepage.schema. Trường hợp schema lỗi chỉ đổi một field để cô lập kết quả.</x:v>
      </x:c>
    </x:row>
    <x:row r="9" ht="40" customHeight="1">
      <x:c r="A9" s="3" t="str">
        <x:v>DS-CATALOG</x:v>
      </x:c>
      <x:c r="B9" s="3" t="str">
        <x:v>Cây và filters</x:v>
      </x:c>
      <x:c r="C9" s="3" t="str">
        <x:v>Category3 cấp: C1-&gt;C2-&gt;C3; sibling khác; 7 brands B1..B7; 7 origins gồm SG,DE,New Zealand; 45 products total và pageSize20; count có0, thiếu, và dương</x:v>
      </x:c>
      <x:c r="D9" s="3" t="str">
        <x:v>Mỗi ID là GUID hợp lệ trong test; slug duy nhất. Chuẩn bị tập filter trả0 và&gt;20 item. Có response count bổ sung cho category thiếu count.</x:v>
      </x:c>
    </x:row>
    <x:row r="10" ht="55.5" customHeight="1">
      <x:c r="A10" s="3" t="str">
        <x:v>DS-PRODUCT</x:v>
      </x:c>
      <x:c r="B10" s="3" t="str">
        <x:v>VISIBLE/HIDDEN/OUT</x:v>
      </x:c>
      <x:c r="C10" s="3" t="str">
        <x:v>Product published slug=qa-flask; priceVisible=true; V1 active,unitPrice1250,rfqBasePrice1500,promotion25,currencySGD,stock10; V2 giá95 stock2; media3 ảnh; docs2; certificates2. HIDDEN đổi flag false hoặc unitPrice=null; OUT đổi stock0/inactive</x:v>
      </x:c>
      <x:c r="D10" s="3" t="str">
        <x:v>Bổ sung mọi field bắt buộc theo publicProductDetailSchema. Tách fixture test default cheapest khỏi fixture expected937.50 nếu V2 rẻ hơn đang active.</x:v>
      </x:c>
    </x:row>
    <x:row r="11" ht="55.5" customHeight="1">
      <x:c r="A11" s="3" t="str">
        <x:v>DS-CART</x:v>
      </x:c>
      <x:c r="B11" s="3" t="str">
        <x:v>Giỏ và phép tính độc lập</x:v>
      </x:c>
      <x:c r="C11" s="3" t="str">
        <x:v>I1: quantity100,unitPrice35,lineTotal3500,stock200,SGD; I2: quantity1,unitPrice1000,originalPrice1200,lineTotal1000,stock5,SGD; product/variant/item IDs khác nhau; variants và selections đầy đủ</x:v>
      </x:c>
      <x:c r="D11" s="3" t="str">
        <x:v>Subtotal4500; discount hiển thị200; tax405; delivery0; total4905 theo code hiện tại9%. Cart API không trả originalPrice: chỉ thêm trong domain fixture kiểm tra helper/summary; không giả backend có field này. Thuế cần PO xác nhận.</x:v>
      </x:c>
    </x:row>
    <x:row r="12" ht="40" customHeight="1">
      <x:c r="A12" s="3" t="str">
        <x:v>DS-CHECKOUT</x:v>
      </x:c>
      <x:c r="B12" s="3" t="str">
        <x:v>Form checkout hợp lệ</x:v>
      </x:c>
      <x:c r="C12" s="3" t="str">
        <x:v>fullName=QA Tester,email=qa.a@example.test,phone=+65 88009900,companyName=QA Lab,address=123 QA Street,postalCode=319455,country=SG,billingSameAsDelivery=true,billingAddress="",billingPostalCode="",paymentMethod=paynow</x:v>
      </x:c>
      <x:c r="D12" s="3" t="str">
        <x:v>Khi same=false: billingAddress=456 QA Street,billingPostalCode=319456. Dùng company optional rỗng để test.</x:v>
      </x:c>
    </x:row>
    <x:row r="13" ht="40" customHeight="1">
      <x:c r="A13" s="3" t="str">
        <x:v>DS-QUOTE</x:v>
      </x:c>
      <x:c r="B13" s="3" t="str">
        <x:v>Contact quote cart</x:v>
      </x:c>
      <x:c r="C13" s="3" t="str">
        <x:v>fullName=QA Tester,phoneCountry=65,phone=88009900,email=qa.a@example.test,companyName=QA Lab,region=Singapore; itemIds=[I1,I2]; UUID idempotencyKey</x:v>
      </x:c>
      <x:c r="D13" s="3" t="str">
        <x:v>Trong form quote, phoneCountry là digits, region là name; không thay bằng ISO.</x:v>
      </x:c>
    </x:row>
    <x:row r="14" ht="71" customHeight="1">
      <x:c r="A14" s="3" t="str">
        <x:v>DS-CONTACT</x:v>
      </x:c>
      <x:c r="B14" s="3" t="str">
        <x:v>GENERAL/QUOTE</x:v>
      </x:c>
      <x:c r="C14" s="3" t="str">
        <x:v>GENERAL: inquiryType=general,fullName=QA Tester,email=qa.a@example.test,phoneCountry=65,phone=88009900,company=QA Lab,subject=Question,message=QA test,products=[row rỗng]. QUOTE: inquiryType=quote; products=[{productName:QA Flask,brand:Medisafe,quantity:"1",budgetRange:"100-200 SGD"}]</x:v>
      </x:c>
      <x:c r="D14" s="3" t="str">
        <x:v>Giữ các field không đổi hợp lệ; quote có1..5 row. Khi gọi schema trực tiếp giữ đầy đủ các field required về kiểu dù UI không render.</x:v>
      </x:c>
    </x:row>
    <x:row r="15" ht="71" customHeight="1">
      <x:c r="A15" s="3" t="str">
        <x:v>DS-PROFILE</x:v>
      </x:c>
      <x:c r="B15" s="3" t="str">
        <x:v>Profile API và form</x:v>
      </x:c>
      <x:c r="C15" s="3" t="str">
        <x:v>fullName=QA Tester,phoneNumber=+6588009900,email=qa.a@example.test,companyName=QA Lab,companyPhone="",businessRegistrationNumber="",deliveryAddress={address:123 QA Street,postalCode:319455,country:SG},sameAsDeliveryAddress=true,billingAddress tương tự,profilePictureUrl=null,passwordChangedAt=null,memberSince=2026-01-01T00:00:00Z</x:v>
      </x:c>
      <x:c r="D15" s="3" t="str">
        <x:v>CurrentUser.form dùng phone,deliveryAddress string,billingSameAsDelivery. Incomplete chỉ cho null các field schema cho phép; fullName/email/memberSince vẫn bắt buộc.</x:v>
      </x:c>
    </x:row>
    <x:row r="16" ht="40" customHeight="1">
      <x:c r="A16" s="3" t="str">
        <x:v>DS-ORD</x:v>
      </x:c>
      <x:c r="B16" s="3" t="str">
        <x:v>Order list/detail</x:v>
      </x:c>
      <x:c r="C16" s="3" t="str">
        <x:v>21 records củaA; 1 củaB; pageSize10; statuses đủ ca; amount dương hoặc0 theo schema; invoice đầy đủ, lines2; createdAt ISO offset; shippingSnapshotJson JSON/text/empty</x:v>
      </x:c>
      <x:c r="D16" s="3" t="str">
        <x:v>Build từ order.schema.ts; test arithmetic so với API authoritative. Không tự sửa response để khớp tổng nếu backend fixture cố ý inconsistent.</x:v>
      </x:c>
    </x:row>
    <x:row r="17" ht="40" customHeight="1">
      <x:c r="A17" s="3" t="str">
        <x:v>DS-RFQ</x:v>
      </x:c>
      <x:c r="B17" s="3" t="str">
        <x:v>RFQ list/detail</x:v>
      </x:c>
      <x:c r="C17" s="3" t="str">
        <x:v>21 records củaA;1 củaB; items2, quantity integer&gt;0; notes/adminRemarks/supplierRemarks string/null/undefined; source và supplierId/userId GUID đúng</x:v>
      </x:c>
      <x:c r="D17" s="3" t="str">
        <x:v>Không suy ra chức năng accept/reject/update RFQ vì frontend chỉ có read.</x:v>
      </x:c>
    </x:row>
    <x:row r="18" ht="40" customHeight="1">
      <x:c r="A18" s="3" t="str">
        <x:v>DS-NEWS</x:v>
      </x:c>
      <x:c r="B18" s="3" t="str">
        <x:v>News fixtures</x:v>
      </x:c>
      <x:c r="C18" s="3" t="str">
        <x:v>7 bài local hiện có; bổ sung list8+ bài để test nhiều trang hoặc category rỗng; publishedAt UTC gần nửa đêm; tất cả slug duy nhất</x:v>
      </x:c>
      <x:c r="D18" s="3" t="str">
        <x:v>Featured nằm ngoài feed. Dữ liệu static local không chứng minh CMS đang hoạt động.</x:v>
      </x:c>
    </x:row>
    <x:row r="19" ht="40" customHeight="1">
      <x:c r="A19" s="3" t="str">
        <x:v>DS-FILES</x:v>
      </x:c>
      <x:c r="B19" s="3" t="str">
        <x:v>File ảnh avatar</x:v>
      </x:c>
      <x:c r="C19" s="3" t="str">
        <x:v>JPEG/PNG có nội dung hợp lệ sizes1024,1048576,1048577 bytes; GIF/SVG; PNG0byte; file text khai MIMEimage/png</x:v>
      </x:c>
      <x:c r="D19" s="3" t="str">
        <x:v>Tạo file tổng hợp, không dùng ảnh người thật. MIME giả và ảnh hỏng là test backend riêng; client accept không chứng minh file hợp lệ.</x:v>
      </x:c>
    </x:row>
    <x:row r="20" ht="40" customHeight="1">
      <x:c r="A20" s="3" t="str">
        <x:v>DS-PAYMENT</x:v>
      </x:c>
      <x:c r="B20" s="3" t="str">
        <x:v>URL và provider sandbox</x:v>
      </x:c>
      <x:c r="C20" s="3" t="str">
        <x:v>reference=PAY-ABC12345,method=paynow/bank-transfer,amount=4905; mock success orderId=OR-3000; server-paid thật dùng order GUID được API cấp</x:v>
      </x:c>
      <x:c r="D20" s="3" t="str">
        <x:v>Không có tiền thật. Không tự coi QR static là beneficiary hợp lệ. API tạo/confirm chưa được repo cung cấp contract.</x:v>
      </x:c>
    </x:row>
    <x:row r="21" ht="40" customHeight="1">
      <x:c r="A21" s="3" t="str">
        <x:v>DS-ERROR</x:v>
      </x:c>
      <x:c r="B21" s="3" t="str">
        <x:v>Response điều khiển</x:v>
      </x:c>
      <x:c r="C21" s="3" t="str">
        <x:v>400/401/403/404/409/422/429/500; timeout&gt;15000ms bằng fake clock; disconnected; canceled; invalid JSON; missing field; HTTP200 malformed; response muộn</x:v>
      </x:c>
      <x:c r="D21" s="3" t="str">
        <x:v>Mock ngoài unit đang test, thay từng biến. Không auto retry mutation. Retry query tối đa3attempts theo provider mặc định, profile riêng không retry.</x:v>
      </x:c>
    </x:row>
    <x:row r="22" ht="40" customHeight="1">
      <x:c r="A22" s="3" t="str">
        <x:v>DS-ENV</x:v>
      </x:c>
      <x:c r="B22" s="3" t="str">
        <x:v>Browser và thông tin run</x:v>
      </x:c>
      <x:c r="C22" s="3" t="str">
        <x:v>Front-end sandbox URL (chưa được cấp), API base thực tế, build/commit deploy,OS/browser version,locale,viewport,time,seed version,account alias,network mode</x:v>
      </x:c>
      <x:c r="D22" s="3" t="str">
        <x:v>Không đọc/copy .env.local, cookie, token hoặc password thật. Không giả APIbase là URLfrontend.</x:v>
      </x:c>
    </x:row>
    <x:row r="23" ht="55.5" customHeight="1">
      <x:c r="A23" s="3" t="str">
        <x:v>DS-BOUNDARY</x:v>
      </x:c>
      <x:c r="B23" s="3" t="str">
        <x:v>Quy ước literal và isolation</x:v>
      </x:c>
      <x:c r="C23" s="3" t="str">
        <x:v>Trong ca boundary, string dàiN dùng literal được ghi trong case. Mật khẩu mới của AUTH.RESET là newPassword, của SIGNUP là password; confirm bằng đúng literal khi test positive. Ký tự0 đầu của phone/code/postal phải giữ</x:v>
      </x:c>
      <x:c r="D23" s="3" t="str">
        <x:v>Mỗi lần chỉ đổi1field, reset dữ liệu/network/clock/cache; kết quả accepted ở client không chứng minh backend cũng chấp nhận.</x:v>
      </x:c>
    </x:row>
  </x:sheetData>
  <x:pageMargins left="0.7" right="0.7" top="0.75" bottom="0.75" header="0.3" footer="0.3"/>
  <x:tableParts count="1">
    <x:tablePart xmlns:r="http://schemas.openxmlformats.org/officeDocument/2006/relationships" r:id="Ra05dd6d1583a468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6.66999816894531" hidden="0" customWidth="1"/>
    <x:col min="2" max="2" width="13.329999923706055" hidden="0" customWidth="1"/>
    <x:col min="3" max="3" width="11.109999656677246" hidden="0" customWidth="1"/>
    <x:col min="4" max="4" width="20" hidden="0" customWidth="1"/>
    <x:col min="5" max="5" width="48.88999938964844" hidden="0" customWidth="1"/>
    <x:col min="6" max="6" width="55.560001373291016" hidden="0" customWidth="1"/>
  </x:cols>
  <x:sheetData>
    <x:row r="1">
      <x:c r="A1" s="3"/>
      <x:c r="B1" s="3"/>
      <x:c r="C1" s="3"/>
      <x:c r="D1" s="3"/>
      <x:c r="E1" s="3"/>
      <x:c r="F1" s="3"/>
    </x:row>
    <x:row r="2" ht="27" customHeight="1">
      <x:c r="A2" s="5" t="str">
        <x:v>Inventory source và ownership kiểm thử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4" customHeight="1">
      <x:c r="A4" s="9" t="str">
        <x:v>Source file</x:v>
      </x:c>
      <x:c r="B4" s="9" t="str">
        <x:v>Loại</x:v>
      </x:c>
      <x:c r="C4" s="9" t="str">
        <x:v>Số dòng</x:v>
      </x:c>
      <x:c r="D4" s="9" t="str">
        <x:v>Nhóm kiểm thử</x:v>
      </x:c>
      <x:c r="E4" s="9" t="str">
        <x:v>Ca trỏ trực tiếp</x:v>
      </x:c>
      <x:c r="F4" s="9" t="str">
        <x:v>SHA-256 snapshot</x:v>
      </x:c>
    </x:row>
    <x:row r="5" ht="36" customHeight="1">
      <x:c r="A5" s="3" t="str">
        <x:v>src/app/[locale]/(auth)/auth-header.tsx</x:v>
      </x:c>
      <x:c r="B5" s="3" t="str">
        <x:v>source</x:v>
      </x:c>
      <x:c r="C5" s="3" t="n">
        <x:v>31</x:v>
      </x:c>
      <x:c r="D5" s="3" t="str">
        <x:v>LOC, SEO, UI, SYS, HOME</x:v>
      </x:c>
      <x:c r="E5" s="3" t="str">
        <x:v>Supporting source của module</x:v>
      </x:c>
      <x:c r="F5" s="3" t="str">
        <x:v>bb60842028e776295fe204de4824dce95a872c6ff77fc42c3edff81d94516f9d</x:v>
      </x:c>
    </x:row>
    <x:row r="6" ht="36" customHeight="1">
      <x:c r="A6" s="3" t="str">
        <x:v>src/app/[locale]/(auth)/forgot-password/page.tsx</x:v>
      </x:c>
      <x:c r="B6" s="3" t="str">
        <x:v>source</x:v>
      </x:c>
      <x:c r="C6" s="3" t="n">
        <x:v>22</x:v>
      </x:c>
      <x:c r="D6" s="3" t="str">
        <x:v>AUTH</x:v>
      </x:c>
      <x:c r="E6" s="3" t="str">
        <x:v>Supporting source của module</x:v>
      </x:c>
      <x:c r="F6" s="3" t="str">
        <x:v>49ebcbaaf4c1490e1b26b6f6cce49efad2f1b5587ffdb5a9632c99278d7f811b</x:v>
      </x:c>
    </x:row>
    <x:row r="7" ht="36" customHeight="1">
      <x:c r="A7" s="3" t="str">
        <x:v>src/app/[locale]/(auth)/layout.tsx</x:v>
      </x:c>
      <x:c r="B7" s="3" t="str">
        <x:v>source</x:v>
      </x:c>
      <x:c r="C7" s="3" t="n">
        <x:v>20</x:v>
      </x:c>
      <x:c r="D7" s="3" t="str">
        <x:v>LOC, SEO, UI, SYS, HOME</x:v>
      </x:c>
      <x:c r="E7" s="3" t="str">
        <x:v>Supporting source của module</x:v>
      </x:c>
      <x:c r="F7" s="3" t="str">
        <x:v>185b0aa7a2088cdae778e33aab6ad35bb00329c687a1336c4140093e899500c9</x:v>
      </x:c>
    </x:row>
    <x:row r="8" ht="36" customHeight="1">
      <x:c r="A8" s="3" t="str">
        <x:v>src/app/[locale]/(auth)/login/page.tsx</x:v>
      </x:c>
      <x:c r="B8" s="3" t="str">
        <x:v>source</x:v>
      </x:c>
      <x:c r="C8" s="3" t="n">
        <x:v>24</x:v>
      </x:c>
      <x:c r="D8" s="3" t="str">
        <x:v>AUTH</x:v>
      </x:c>
      <x:c r="E8" s="3" t="str">
        <x:v>Supporting source của module</x:v>
      </x:c>
      <x:c r="F8" s="3" t="str">
        <x:v>3cb65798dade99c00b11d82af2790b143630509811d879442f53ce6c31346fa8</x:v>
      </x:c>
    </x:row>
    <x:row r="9" ht="36" customHeight="1">
      <x:c r="A9" s="3" t="str">
        <x:v>src/app/[locale]/(auth)/signup/page.tsx</x:v>
      </x:c>
      <x:c r="B9" s="3" t="str">
        <x:v>source</x:v>
      </x:c>
      <x:c r="C9" s="3" t="n">
        <x:v>19</x:v>
      </x:c>
      <x:c r="D9" s="3" t="str">
        <x:v>AUTH</x:v>
      </x:c>
      <x:c r="E9" s="3" t="str">
        <x:v>Supporting source của module</x:v>
      </x:c>
      <x:c r="F9" s="3" t="str">
        <x:v>f20a6f6ce46316dfdaed28bd895a7e58df3ab6305a22e36a1b918585a4cb8c53</x:v>
      </x:c>
    </x:row>
    <x:row r="10" ht="36" customHeight="1">
      <x:c r="A10" s="3" t="str">
        <x:v>src/app/[locale]/(marketing)/about-us/page.tsx</x:v>
      </x:c>
      <x:c r="B10" s="3" t="str">
        <x:v>source</x:v>
      </x:c>
      <x:c r="C10" s="3" t="n">
        <x:v>29</x:v>
      </x:c>
      <x:c r="D10" s="3" t="str">
        <x:v>CMS</x:v>
      </x:c>
      <x:c r="E10" s="3" t="str">
        <x:v>Supporting source của module</x:v>
      </x:c>
      <x:c r="F10" s="3" t="str">
        <x:v>2067330fe3472371016ede7cdf984061d4060cc8c4c1f5b934c3700307cae437</x:v>
      </x:c>
    </x:row>
    <x:row r="11" ht="36" customHeight="1">
      <x:c r="A11" s="3" t="str">
        <x:v>src/app/[locale]/(marketing)/cart/page.tsx</x:v>
      </x:c>
      <x:c r="B11" s="3" t="str">
        <x:v>source</x:v>
      </x:c>
      <x:c r="C11" s="3" t="n">
        <x:v>14</x:v>
      </x:c>
      <x:c r="D11" s="3" t="str">
        <x:v>CART</x:v>
      </x:c>
      <x:c r="E11" s="3" t="str">
        <x:v>Supporting source của module</x:v>
      </x:c>
      <x:c r="F11" s="3" t="str">
        <x:v>b64ad6d91c52d8f8bdade815ec29c12b3b15418d8a44abe6deee6814c3751bdf</x:v>
      </x:c>
    </x:row>
    <x:row r="12" ht="36" customHeight="1">
      <x:c r="A12" s="3" t="str">
        <x:v>src/app/[locale]/(marketing)/checkout/page.tsx</x:v>
      </x:c>
      <x:c r="B12" s="3" t="str">
        <x:v>source</x:v>
      </x:c>
      <x:c r="C12" s="3" t="n">
        <x:v>16</x:v>
      </x:c>
      <x:c r="D12" s="3" t="str">
        <x:v>CHK</x:v>
      </x:c>
      <x:c r="E12" s="3" t="str">
        <x:v>Supporting source của module</x:v>
      </x:c>
      <x:c r="F12" s="3" t="str">
        <x:v>76a093e94eb6c7b4c31fe87ed9079be9510f8f3449d087e6d65e7903a682148e</x:v>
      </x:c>
    </x:row>
    <x:row r="13" ht="36" customHeight="1">
      <x:c r="A13" s="3" t="str">
        <x:v>src/app/[locale]/(marketing)/contact-us/page.tsx</x:v>
      </x:c>
      <x:c r="B13" s="3" t="str">
        <x:v>source</x:v>
      </x:c>
      <x:c r="C13" s="3" t="n">
        <x:v>36</x:v>
      </x:c>
      <x:c r="D13" s="3" t="str">
        <x:v>LOC, SEO, UI, SYS, HOME</x:v>
      </x:c>
      <x:c r="E13" s="3" t="str">
        <x:v>CON-001, CON-002, CON-020</x:v>
      </x:c>
      <x:c r="F13" s="3" t="str">
        <x:v>5a0b0d3eaa1e2033b01e078a3092df2384af9d4b0e7932228275bac4e5f8016a</x:v>
      </x:c>
    </x:row>
    <x:row r="14" ht="36" customHeight="1">
      <x:c r="A14" s="3" t="str">
        <x:v>src/app/[locale]/(marketing)/layout.tsx</x:v>
      </x:c>
      <x:c r="B14" s="3" t="str">
        <x:v>source</x:v>
      </x:c>
      <x:c r="C14" s="3" t="n">
        <x:v>22</x:v>
      </x:c>
      <x:c r="D14" s="3" t="str">
        <x:v>LOC, SEO, UI, SYS, HOME</x:v>
      </x:c>
      <x:c r="E14" s="3" t="str">
        <x:v>Supporting source của module</x:v>
      </x:c>
      <x:c r="F14" s="3" t="str">
        <x:v>e563d9028075a8434d7138737e3e3149b90602a8d82218e6b80d757ad71578fb</x:v>
      </x:c>
    </x:row>
    <x:row r="15" ht="36" customHeight="1">
      <x:c r="A15" s="3" t="str">
        <x:v>src/app/[locale]/(marketing)/marketing-header.tsx</x:v>
      </x:c>
      <x:c r="B15" s="3" t="str">
        <x:v>source</x:v>
      </x:c>
      <x:c r="C15" s="3" t="n">
        <x:v>32</x:v>
      </x:c>
      <x:c r="D15" s="3" t="str">
        <x:v>LOC, SEO, UI, SYS, HOME</x:v>
      </x:c>
      <x:c r="E15" s="3" t="str">
        <x:v>Supporting source của module</x:v>
      </x:c>
      <x:c r="F15" s="3" t="str">
        <x:v>703f02c86a1622bdf208744e6defa4164f9e586e5ef76bbd7f70f05bfc5ec5e9</x:v>
      </x:c>
    </x:row>
    <x:row r="16" ht="36" customHeight="1">
      <x:c r="A16" s="3" t="str">
        <x:v>src/app/[locale]/(marketing)/news/[slug]/page.tsx</x:v>
      </x:c>
      <x:c r="B16" s="3" t="str">
        <x:v>source</x:v>
      </x:c>
      <x:c r="C16" s="3" t="n">
        <x:v>71</x:v>
      </x:c>
      <x:c r="D16" s="3" t="str">
        <x:v>CMS</x:v>
      </x:c>
      <x:c r="E16" s="3" t="str">
        <x:v>Supporting source của module</x:v>
      </x:c>
      <x:c r="F16" s="3" t="str">
        <x:v>57cbd0ed73e19ef9904084741f201c0c3fbaa54ae0147831c6e201765ef1f741</x:v>
      </x:c>
    </x:row>
    <x:row r="17" ht="36" customHeight="1">
      <x:c r="A17" s="3" t="str">
        <x:v>src/app/[locale]/(marketing)/news/page.tsx</x:v>
      </x:c>
      <x:c r="B17" s="3" t="str">
        <x:v>source</x:v>
      </x:c>
      <x:c r="C17" s="3" t="n">
        <x:v>29</x:v>
      </x:c>
      <x:c r="D17" s="3" t="str">
        <x:v>CMS</x:v>
      </x:c>
      <x:c r="E17" s="3" t="str">
        <x:v>Supporting source của module</x:v>
      </x:c>
      <x:c r="F17" s="3" t="str">
        <x:v>9d6a193d39b897e2bfffff9f8f6e7d5a818a615390a4322c50464778df829608</x:v>
      </x:c>
    </x:row>
    <x:row r="18" ht="36" customHeight="1">
      <x:c r="A18" s="3" t="str">
        <x:v>src/app/[locale]/(marketing)/orders/[orderId]/page.tsx</x:v>
      </x:c>
      <x:c r="B18" s="3" t="str">
        <x:v>source</x:v>
      </x:c>
      <x:c r="C18" s="3" t="n">
        <x:v>16</x:v>
      </x:c>
      <x:c r="D18" s="3" t="str">
        <x:v>ORD</x:v>
      </x:c>
      <x:c r="E18" s="3" t="str">
        <x:v>Supporting source của module</x:v>
      </x:c>
      <x:c r="F18" s="3" t="str">
        <x:v>5a6fa6cb05ba73448db573e092d7ffc3b96526444f30e6a719691ffb439535da</x:v>
      </x:c>
    </x:row>
    <x:row r="19" ht="36" customHeight="1">
      <x:c r="A19" s="3" t="str">
        <x:v>src/app/[locale]/(marketing)/orders/page.tsx</x:v>
      </x:c>
      <x:c r="B19" s="3" t="str">
        <x:v>source</x:v>
      </x:c>
      <x:c r="C19" s="3" t="n">
        <x:v>25</x:v>
      </x:c>
      <x:c r="D19" s="3" t="str">
        <x:v>ORD</x:v>
      </x:c>
      <x:c r="E19" s="3" t="str">
        <x:v>Supporting source của module</x:v>
      </x:c>
      <x:c r="F19" s="3" t="str">
        <x:v>1f6744814dacc68a93289e3f1b5dc90ea47db4b81c916746398d690507eea26b</x:v>
      </x:c>
    </x:row>
    <x:row r="20" ht="36" customHeight="1">
      <x:c r="A20" s="3" t="str">
        <x:v>src/app/[locale]/(marketing)/page.tsx</x:v>
      </x:c>
      <x:c r="B20" s="3" t="str">
        <x:v>source</x:v>
      </x:c>
      <x:c r="C20" s="3" t="n">
        <x:v>52</x:v>
      </x:c>
      <x:c r="D20" s="3" t="str">
        <x:v>LOC, SEO, UI, SYS, HOME</x:v>
      </x:c>
      <x:c r="E20" s="3" t="str">
        <x:v>Supporting source của module</x:v>
      </x:c>
      <x:c r="F20" s="3" t="str">
        <x:v>49a0a8db67632f8201ec947301a2bf0ed0511e4baca3ce84b6e2dd36d7fda908</x:v>
      </x:c>
    </x:row>
    <x:row r="21" ht="40" customHeight="1">
      <x:c r="A21" s="3" t="str">
        <x:v>src/app/[locale]/(marketing)/payment/page.tsx</x:v>
      </x:c>
      <x:c r="B21" s="3" t="str">
        <x:v>source</x:v>
      </x:c>
      <x:c r="C21" s="3" t="n">
        <x:v>25</x:v>
      </x:c>
      <x:c r="D21" s="3" t="str">
        <x:v>PAY</x:v>
      </x:c>
      <x:c r="E21" s="3" t="str">
        <x:v>PAY-001, PAY-002, PAY-003, PAY-004, PAY-005, PAY-006, PAY-007, PAY-008, PAY-009</x:v>
      </x:c>
      <x:c r="F21" s="3" t="str">
        <x:v>a29dfaa9d02980e6c2481a6a6cf64dcde46830c9a73dd7ffc0609ffd7f98e62e</x:v>
      </x:c>
    </x:row>
    <x:row r="22" ht="36" customHeight="1">
      <x:c r="A22" s="3" t="str">
        <x:v>src/app/[locale]/(marketing)/payment/success/page.tsx</x:v>
      </x:c>
      <x:c r="B22" s="3" t="str">
        <x:v>source</x:v>
      </x:c>
      <x:c r="C22" s="3" t="n">
        <x:v>22</x:v>
      </x:c>
      <x:c r="D22" s="3" t="str">
        <x:v>PAY</x:v>
      </x:c>
      <x:c r="E22" s="3" t="str">
        <x:v>PAY-014, PAY-015, PAY-016</x:v>
      </x:c>
      <x:c r="F22" s="3" t="str">
        <x:v>a9f2a10de50fc2126c5052390699af982cb02627bcdcc66aa43a9c0922cb3705</x:v>
      </x:c>
    </x:row>
    <x:row r="23" ht="36" customHeight="1">
      <x:c r="A23" s="3" t="str">
        <x:v>src/app/[locale]/(marketing)/privacy/page.tsx</x:v>
      </x:c>
      <x:c r="B23" s="3" t="str">
        <x:v>source</x:v>
      </x:c>
      <x:c r="C23" s="3" t="n">
        <x:v>21</x:v>
      </x:c>
      <x:c r="D23" s="3" t="str">
        <x:v>CMS</x:v>
      </x:c>
      <x:c r="E23" s="3" t="str">
        <x:v>Supporting source của module</x:v>
      </x:c>
      <x:c r="F23" s="3" t="str">
        <x:v>59623f78e24662d7486c15806280810bca519514b5308ce9550d93555253c49d</x:v>
      </x:c>
    </x:row>
    <x:row r="24" ht="36" customHeight="1">
      <x:c r="A24" s="3" t="str">
        <x:v>src/app/[locale]/(marketing)/products/[slug]/page.tsx</x:v>
      </x:c>
      <x:c r="B24" s="3" t="str">
        <x:v>source</x:v>
      </x:c>
      <x:c r="C24" s="3" t="n">
        <x:v>83</x:v>
      </x:c>
      <x:c r="D24" s="3" t="str">
        <x:v>CAT, PDP</x:v>
      </x:c>
      <x:c r="E24" s="3" t="str">
        <x:v>Supporting source của module</x:v>
      </x:c>
      <x:c r="F24" s="3" t="str">
        <x:v>aa647f0602affff317f3b4ccc932943e8741e147a022bcd8f95f8427ff273536</x:v>
      </x:c>
    </x:row>
    <x:row r="25" ht="36" customHeight="1">
      <x:c r="A25" s="3" t="str">
        <x:v>src/app/[locale]/(marketing)/products/category/[slug]/page.tsx</x:v>
      </x:c>
      <x:c r="B25" s="3" t="str">
        <x:v>source</x:v>
      </x:c>
      <x:c r="C25" s="3" t="n">
        <x:v>117</x:v>
      </x:c>
      <x:c r="D25" s="3" t="str">
        <x:v>CAT, PDP</x:v>
      </x:c>
      <x:c r="E25" s="3" t="str">
        <x:v>CAT-001, CAT-002, CAT-003, CAT-022, CAT-023, CAT-024</x:v>
      </x:c>
      <x:c r="F25" s="3" t="str">
        <x:v>8879015f567abeee5e6215ef908fd9ccf42a1c179aa62946b740c6648752a413</x:v>
      </x:c>
    </x:row>
    <x:row r="26" ht="36" customHeight="1">
      <x:c r="A26" s="3" t="str">
        <x:v>src/app/[locale]/(marketing)/products/page.tsx</x:v>
      </x:c>
      <x:c r="B26" s="3" t="str">
        <x:v>source</x:v>
      </x:c>
      <x:c r="C26" s="3" t="n">
        <x:v>80</x:v>
      </x:c>
      <x:c r="D26" s="3" t="str">
        <x:v>CAT, PDP</x:v>
      </x:c>
      <x:c r="E26" s="3" t="str">
        <x:v>CAT-001, CAT-002, CAT-003, CAT-028</x:v>
      </x:c>
      <x:c r="F26" s="3" t="str">
        <x:v>5f69a79fad01e1e4620e8787f5832fee8a382419f5be941f5c08fa6b732013df</x:v>
      </x:c>
    </x:row>
    <x:row r="27" ht="36" customHeight="1">
      <x:c r="A27" s="3" t="str">
        <x:v>src/app/[locale]/(marketing)/profile/page.tsx</x:v>
      </x:c>
      <x:c r="B27" s="3" t="str">
        <x:v>source</x:v>
      </x:c>
      <x:c r="C27" s="3" t="n">
        <x:v>17</x:v>
      </x:c>
      <x:c r="D27" s="3" t="str">
        <x:v>PRO</x:v>
      </x:c>
      <x:c r="E27" s="3" t="str">
        <x:v>Supporting source của module</x:v>
      </x:c>
      <x:c r="F27" s="3" t="str">
        <x:v>72255586cf522e53d609eef5fafe80b5816c7eb845b539ef7251c6994257f000</x:v>
      </x:c>
    </x:row>
    <x:row r="28" ht="36" customHeight="1">
      <x:c r="A28" s="3" t="str">
        <x:v>src/app/[locale]/(marketing)/request-quote/page.tsx</x:v>
      </x:c>
      <x:c r="B28" s="3" t="str">
        <x:v>source</x:v>
      </x:c>
      <x:c r="C28" s="3" t="n">
        <x:v>16</x:v>
      </x:c>
      <x:c r="D28" s="3" t="str">
        <x:v>QUOTE</x:v>
      </x:c>
      <x:c r="E28" s="3" t="str">
        <x:v>Supporting source của module</x:v>
      </x:c>
      <x:c r="F28" s="3" t="str">
        <x:v>5a4961c54c7cd2df7c9a347491275eabbeae94e2659412b9840bd43fe7c64e7a</x:v>
      </x:c>
    </x:row>
    <x:row r="29" ht="36" customHeight="1">
      <x:c r="A29" s="3" t="str">
        <x:v>src/app/[locale]/(marketing)/request-quote/success/page.tsx</x:v>
      </x:c>
      <x:c r="B29" s="3" t="str">
        <x:v>source</x:v>
      </x:c>
      <x:c r="C29" s="3" t="n">
        <x:v>13</x:v>
      </x:c>
      <x:c r="D29" s="3" t="str">
        <x:v>QUOTE</x:v>
      </x:c>
      <x:c r="E29" s="3" t="str">
        <x:v>QUOTE-009</x:v>
      </x:c>
      <x:c r="F29" s="3" t="str">
        <x:v>69c864af721b1d101433056eba8772ca715e8bcc253b20921343dd4a4d6cca93</x:v>
      </x:c>
    </x:row>
    <x:row r="30" ht="36" customHeight="1">
      <x:c r="A30" s="3" t="str">
        <x:v>src/app/[locale]/(marketing)/rfqs/[rfqId]/page.tsx</x:v>
      </x:c>
      <x:c r="B30" s="3" t="str">
        <x:v>source</x:v>
      </x:c>
      <x:c r="C30" s="3" t="n">
        <x:v>16</x:v>
      </x:c>
      <x:c r="D30" s="3" t="str">
        <x:v>RFQ</x:v>
      </x:c>
      <x:c r="E30" s="3" t="str">
        <x:v>Supporting source của module</x:v>
      </x:c>
      <x:c r="F30" s="3" t="str">
        <x:v>93481ca92a42927f2783f1138c70cdd66919eb2bd25578585c00a14042de221a</x:v>
      </x:c>
    </x:row>
    <x:row r="31" ht="36" customHeight="1">
      <x:c r="A31" s="3" t="str">
        <x:v>src/app/[locale]/(marketing)/rfqs/page.tsx</x:v>
      </x:c>
      <x:c r="B31" s="3" t="str">
        <x:v>source</x:v>
      </x:c>
      <x:c r="C31" s="3" t="n">
        <x:v>25</x:v>
      </x:c>
      <x:c r="D31" s="3" t="str">
        <x:v>RFQ</x:v>
      </x:c>
      <x:c r="E31" s="3" t="str">
        <x:v>Supporting source của module</x:v>
      </x:c>
      <x:c r="F31" s="3" t="str">
        <x:v>829c24fc387167c0186d77808d93de6932cf0ad4e4cc297d9d37f42425dff3f3</x:v>
      </x:c>
    </x:row>
    <x:row r="32" ht="36" customHeight="1">
      <x:c r="A32" s="3" t="str">
        <x:v>src/app/[locale]/(marketing)/security/page.tsx</x:v>
      </x:c>
      <x:c r="B32" s="3" t="str">
        <x:v>source</x:v>
      </x:c>
      <x:c r="C32" s="3" t="n">
        <x:v>64</x:v>
      </x:c>
      <x:c r="D32" s="3" t="str">
        <x:v>CMS</x:v>
      </x:c>
      <x:c r="E32" s="3" t="str">
        <x:v>CMS-013</x:v>
      </x:c>
      <x:c r="F32" s="3" t="str">
        <x:v>67f9cfe9be10c54c2c9148361950ad82cca226ff0713afdf7b1b1d20a50c1e13</x:v>
      </x:c>
    </x:row>
    <x:row r="33" ht="36" customHeight="1">
      <x:c r="A33" s="3" t="str">
        <x:v>src/app/[locale]/(marketing)/terms-and-conditions/page.tsx</x:v>
      </x:c>
      <x:c r="B33" s="3" t="str">
        <x:v>source</x:v>
      </x:c>
      <x:c r="C33" s="3" t="n">
        <x:v>21</x:v>
      </x:c>
      <x:c r="D33" s="3" t="str">
        <x:v>CMS</x:v>
      </x:c>
      <x:c r="E33" s="3" t="str">
        <x:v>Supporting source của module</x:v>
      </x:c>
      <x:c r="F33" s="3" t="str">
        <x:v>20e44b13b67b6598dfd730b6e478fb69816a7e789f9dee7ab68abd75af9212c3</x:v>
      </x:c>
    </x:row>
    <x:row r="34" ht="36" customHeight="1">
      <x:c r="A34" s="3" t="str">
        <x:v>src/app/[locale]/(portal)/dashboard/error.tsx</x:v>
      </x:c>
      <x:c r="B34" s="3" t="str">
        <x:v>source</x:v>
      </x:c>
      <x:c r="C34" s="3" t="n">
        <x:v>15</x:v>
      </x:c>
      <x:c r="D34" s="3" t="str">
        <x:v>PRO</x:v>
      </x:c>
      <x:c r="E34" s="3" t="str">
        <x:v>Supporting source của module</x:v>
      </x:c>
      <x:c r="F34" s="3" t="str">
        <x:v>2b749e6d16f1156af2bb3a0c2fec65c3749415229a6e2a2476a7c7abd571f743</x:v>
      </x:c>
    </x:row>
    <x:row r="35" ht="36" customHeight="1">
      <x:c r="A35" s="3" t="str">
        <x:v>src/app/[locale]/(portal)/dashboard/layout.tsx</x:v>
      </x:c>
      <x:c r="B35" s="3" t="str">
        <x:v>source</x:v>
      </x:c>
      <x:c r="C35" s="3" t="n">
        <x:v>52</x:v>
      </x:c>
      <x:c r="D35" s="3" t="str">
        <x:v>PRO</x:v>
      </x:c>
      <x:c r="E35" s="3" t="str">
        <x:v>Supporting source của module</x:v>
      </x:c>
      <x:c r="F35" s="3" t="str">
        <x:v>aa90497a3ea006911cb277df7b1ccaa0a94cb997bfd3c8bbf3700374fd97c5d1</x:v>
      </x:c>
    </x:row>
    <x:row r="36" ht="36" customHeight="1">
      <x:c r="A36" s="3" t="str">
        <x:v>src/app/[locale]/(portal)/dashboard/loading.tsx</x:v>
      </x:c>
      <x:c r="B36" s="3" t="str">
        <x:v>source</x:v>
      </x:c>
      <x:c r="C36" s="3" t="n">
        <x:v>14</x:v>
      </x:c>
      <x:c r="D36" s="3" t="str">
        <x:v>PRO</x:v>
      </x:c>
      <x:c r="E36" s="3" t="str">
        <x:v>Supporting source của module</x:v>
      </x:c>
      <x:c r="F36" s="3" t="str">
        <x:v>d1f52030d6c8595e055cb9c0a27d40f869dd53bfd6c1c50a10f2be89a186e002</x:v>
      </x:c>
    </x:row>
    <x:row r="37" ht="36" customHeight="1">
      <x:c r="A37" s="3" t="str">
        <x:v>src/app/[locale]/(portal)/dashboard/page.tsx</x:v>
      </x:c>
      <x:c r="B37" s="3" t="str">
        <x:v>source</x:v>
      </x:c>
      <x:c r="C37" s="3" t="n">
        <x:v>5</x:v>
      </x:c>
      <x:c r="D37" s="3" t="str">
        <x:v>PRO</x:v>
      </x:c>
      <x:c r="E37" s="3" t="str">
        <x:v>Supporting source của module</x:v>
      </x:c>
      <x:c r="F37" s="3" t="str">
        <x:v>e8656d2df7a1f94990eba41170c2fbdffe9eff5cd93d252b57dee89af27ce3de</x:v>
      </x:c>
    </x:row>
    <x:row r="38" ht="36" customHeight="1">
      <x:c r="A38" s="3" t="str">
        <x:v>src/app/[locale]/(portal)/dashboard/profile/page.tsx</x:v>
      </x:c>
      <x:c r="B38" s="3" t="str">
        <x:v>source</x:v>
      </x:c>
      <x:c r="C38" s="3" t="n">
        <x:v>5</x:v>
      </x:c>
      <x:c r="D38" s="3" t="str">
        <x:v>PRO</x:v>
      </x:c>
      <x:c r="E38" s="3" t="str">
        <x:v>Supporting source của module</x:v>
      </x:c>
      <x:c r="F38" s="3" t="str">
        <x:v>ef4864fe724f115ac680a3e85389bd1c8ff88f1011c430c654a111c7faab5608</x:v>
      </x:c>
    </x:row>
    <x:row r="39" ht="40" customHeight="1">
      <x:c r="A39" s="3" t="str">
        <x:v>src/app/[locale]/layout.tsx</x:v>
      </x:c>
      <x:c r="B39" s="3" t="str">
        <x:v>source</x:v>
      </x:c>
      <x:c r="C39" s="3" t="n">
        <x:v>61</x:v>
      </x:c>
      <x:c r="D39" s="3" t="str">
        <x:v>LOC, SEO, UI, SYS, HOME</x:v>
      </x:c>
      <x:c r="E39" s="3" t="str">
        <x:v>SEO-001, SEO-002, SEO-003, SEO-004, SEO-005, SEO-006, SEO-007, SEO-008</x:v>
      </x:c>
      <x:c r="F39" s="3" t="str">
        <x:v>41b35890adc2a5e8bc099b82b43cc169b0c54226d97209e6e5ea2e69d30440a7</x:v>
      </x:c>
    </x:row>
    <x:row r="40" ht="36" customHeight="1">
      <x:c r="A40" s="3" t="str">
        <x:v>src/app/globals.css</x:v>
      </x:c>
      <x:c r="B40" s="3" t="str">
        <x:v>source</x:v>
      </x:c>
      <x:c r="C40" s="3" t="n">
        <x:v>59</x:v>
      </x:c>
      <x:c r="D40" s="3" t="str">
        <x:v>LOC, SEO, UI, SYS, HOME</x:v>
      </x:c>
      <x:c r="E40" s="3" t="str">
        <x:v>Supporting source của module</x:v>
      </x:c>
      <x:c r="F40" s="3" t="str">
        <x:v>f7a11d82500291118f5c0ba1a1b433c6d610dca68c6d743bcfa2bb94edce9c28</x:v>
      </x:c>
    </x:row>
    <x:row r="41" ht="36" customHeight="1">
      <x:c r="A41" s="3" t="str">
        <x:v>src/app/layout.tsx</x:v>
      </x:c>
      <x:c r="B41" s="3" t="str">
        <x:v>source</x:v>
      </x:c>
      <x:c r="C41" s="3" t="n">
        <x:v>27</x:v>
      </x:c>
      <x:c r="D41" s="3" t="str">
        <x:v>LOC, SEO, UI, SYS, HOME</x:v>
      </x:c>
      <x:c r="E41" s="3" t="str">
        <x:v>Supporting source của module</x:v>
      </x:c>
      <x:c r="F41" s="3" t="str">
        <x:v>6c3c2387d6db9a71f0fb1d6e1fb5026525d528f4052885869b9e573e30037a85</x:v>
      </x:c>
    </x:row>
    <x:row r="42" ht="36" customHeight="1">
      <x:c r="A42" s="3" t="str">
        <x:v>src/app/not-found.tsx</x:v>
      </x:c>
      <x:c r="B42" s="3" t="str">
        <x:v>source</x:v>
      </x:c>
      <x:c r="C42" s="3" t="n">
        <x:v>40</x:v>
      </x:c>
      <x:c r="D42" s="3" t="str">
        <x:v>LOC, SEO, UI, SYS, HOME</x:v>
      </x:c>
      <x:c r="E42" s="3" t="str">
        <x:v>Supporting source của module</x:v>
      </x:c>
      <x:c r="F42" s="3" t="str">
        <x:v>c71f8f9c43d8c97f61603e8392f917913e399f8054f47998c617ba2ba29d56ad</x:v>
      </x:c>
    </x:row>
    <x:row r="43" ht="40" customHeight="1">
      <x:c r="A43" s="3" t="str">
        <x:v>src/app/robots.ts</x:v>
      </x:c>
      <x:c r="B43" s="3" t="str">
        <x:v>source</x:v>
      </x:c>
      <x:c r="C43" s="3" t="n">
        <x:v>32</x:v>
      </x:c>
      <x:c r="D43" s="3" t="str">
        <x:v>SEO</x:v>
      </x:c>
      <x:c r="E43" s="3" t="str">
        <x:v>SEO-001, SEO-002, SEO-003, SEO-004, SEO-005, SEO-006, SEO-007, SEO-008</x:v>
      </x:c>
      <x:c r="F43" s="3" t="str">
        <x:v>38e8e5aa135bc7ef18f8d49696872dda4a3543fb1009bacd76ae22d917a5d51d</x:v>
      </x:c>
    </x:row>
    <x:row r="44" ht="36" customHeight="1">
      <x:c r="A44" s="3" t="str">
        <x:v>src/app/sitemap.test.ts</x:v>
      </x:c>
      <x:c r="B44" s="3" t="str">
        <x:v>test</x:v>
      </x:c>
      <x:c r="C44" s="3" t="n">
        <x:v>35</x:v>
      </x:c>
      <x:c r="D44" s="3" t="str">
        <x:v>SEO</x:v>
      </x:c>
      <x:c r="E44" s="3" t="str">
        <x:v>Supporting source của module</x:v>
      </x:c>
      <x:c r="F44" s="3" t="str">
        <x:v>ae979e827adf39ab3822a0daa1d5a1f5cb2b8182f53acb54ac9de7761723af6f</x:v>
      </x:c>
    </x:row>
    <x:row r="45" ht="40" customHeight="1">
      <x:c r="A45" s="3" t="str">
        <x:v>src/app/sitemap.ts</x:v>
      </x:c>
      <x:c r="B45" s="3" t="str">
        <x:v>source</x:v>
      </x:c>
      <x:c r="C45" s="3" t="n">
        <x:v>49</x:v>
      </x:c>
      <x:c r="D45" s="3" t="str">
        <x:v>SEO</x:v>
      </x:c>
      <x:c r="E45" s="3" t="str">
        <x:v>SEO-001, SEO-002, SEO-003, SEO-004, SEO-005, SEO-006, SEO-007, SEO-008</x:v>
      </x:c>
      <x:c r="F45" s="3" t="str">
        <x:v>b4b8694a7d005d2aaacd5eef0161d6c5ecae49179370d282528e7615e6cb0d32</x:v>
      </x:c>
    </x:row>
    <x:row r="46" ht="36" customHeight="1">
      <x:c r="A46" s="3" t="str">
        <x:v>src/components/layout/category-popover.tsx</x:v>
      </x:c>
      <x:c r="B46" s="3" t="str">
        <x:v>source</x:v>
      </x:c>
      <x:c r="C46" s="3" t="n">
        <x:v>230</x:v>
      </x:c>
      <x:c r="D46" s="3" t="str">
        <x:v>UI</x:v>
      </x:c>
      <x:c r="E46" s="3" t="str">
        <x:v>UI-002, UI-003</x:v>
      </x:c>
      <x:c r="F46" s="3" t="str">
        <x:v>c557b0e287b9a88672f57096d9bf9381d399df732c65ce4babcedf6838bfc4bf</x:v>
      </x:c>
    </x:row>
    <x:row r="47" ht="36" customHeight="1">
      <x:c r="A47" s="3" t="str">
        <x:v>src/components/layout/language-switcher.tsx</x:v>
      </x:c>
      <x:c r="B47" s="3" t="str">
        <x:v>source</x:v>
      </x:c>
      <x:c r="C47" s="3" t="n">
        <x:v>61</x:v>
      </x:c>
      <x:c r="D47" s="3" t="str">
        <x:v>UI</x:v>
      </x:c>
      <x:c r="E47" s="3" t="str">
        <x:v>Supporting source của module</x:v>
      </x:c>
      <x:c r="F47" s="3" t="str">
        <x:v>70033dc3d0498a53dadf75e218fafb8c97fc4672f72ee06387cef4284b34adb4</x:v>
      </x:c>
    </x:row>
    <x:row r="48" ht="36" customHeight="1">
      <x:c r="A48" s="3" t="str">
        <x:v>src/components/layout/main-header.test.tsx</x:v>
      </x:c>
      <x:c r="B48" s="3" t="str">
        <x:v>test</x:v>
      </x:c>
      <x:c r="C48" s="3" t="n">
        <x:v>124</x:v>
      </x:c>
      <x:c r="D48" s="3" t="str">
        <x:v>UI</x:v>
      </x:c>
      <x:c r="E48" s="3" t="str">
        <x:v>Supporting source của module</x:v>
      </x:c>
      <x:c r="F48" s="3" t="str">
        <x:v>3e7706be413d63e80f5f33fee71a3840213e1902d7028a7d50032ba1acb49359</x:v>
      </x:c>
    </x:row>
    <x:row r="49" ht="36" customHeight="1">
      <x:c r="A49" s="3" t="str">
        <x:v>src/components/layout/main-header.tsx</x:v>
      </x:c>
      <x:c r="B49" s="3" t="str">
        <x:v>source</x:v>
      </x:c>
      <x:c r="C49" s="3" t="n">
        <x:v>262</x:v>
      </x:c>
      <x:c r="D49" s="3" t="str">
        <x:v>UI</x:v>
      </x:c>
      <x:c r="E49" s="3" t="str">
        <x:v>UI-001, UI-011, UI-012, UI-023, UI-024</x:v>
      </x:c>
      <x:c r="F49" s="3" t="str">
        <x:v>8eb709ca1a3fea59d38ddca7d99dc2ee2d03ac2cd21577e36cdb0f2fba640f6a</x:v>
      </x:c>
    </x:row>
    <x:row r="50" ht="36" customHeight="1">
      <x:c r="A50" s="3" t="str">
        <x:v>src/components/shared/brand-mark.tsx</x:v>
      </x:c>
      <x:c r="B50" s="3" t="str">
        <x:v>source</x:v>
      </x:c>
      <x:c r="C50" s="3" t="n">
        <x:v>16</x:v>
      </x:c>
      <x:c r="D50" s="3" t="str">
        <x:v>UI</x:v>
      </x:c>
      <x:c r="E50" s="3" t="str">
        <x:v>Supporting source của module</x:v>
      </x:c>
      <x:c r="F50" s="3" t="str">
        <x:v>2ac9453b0aeb4e447fa583fe5a61d6a2ac7e5eb1c093a63c4379c203e09fd76e</x:v>
      </x:c>
    </x:row>
    <x:row r="51" ht="36" customHeight="1">
      <x:c r="A51" s="3" t="str">
        <x:v>src/components/shared/breadcrumbs.tsx</x:v>
      </x:c>
      <x:c r="B51" s="3" t="str">
        <x:v>source</x:v>
      </x:c>
      <x:c r="C51" s="3" t="n">
        <x:v>41</x:v>
      </x:c>
      <x:c r="D51" s="3" t="str">
        <x:v>UI</x:v>
      </x:c>
      <x:c r="E51" s="3" t="str">
        <x:v>Supporting source của module</x:v>
      </x:c>
      <x:c r="F51" s="3" t="str">
        <x:v>4ead9dbca24df96531926ac5d426e8a26cee450fb818ca034f3664a89b437277</x:v>
      </x:c>
    </x:row>
    <x:row r="52" ht="36" customHeight="1">
      <x:c r="A52" s="3" t="str">
        <x:v>src/components/shared/country-select.test.tsx</x:v>
      </x:c>
      <x:c r="B52" s="3" t="str">
        <x:v>test</x:v>
      </x:c>
      <x:c r="C52" s="3" t="n">
        <x:v>121</x:v>
      </x:c>
      <x:c r="D52" s="3" t="str">
        <x:v>UI</x:v>
      </x:c>
      <x:c r="E52" s="3" t="str">
        <x:v>Supporting source của module</x:v>
      </x:c>
      <x:c r="F52" s="3" t="str">
        <x:v>332eb0b64963dac2a407d3092aaea970c333b51e4f6bf49ef68b268b576c7b0e</x:v>
      </x:c>
    </x:row>
    <x:row r="53" ht="36" customHeight="1">
      <x:c r="A53" s="3" t="str">
        <x:v>src/components/shared/country-select.tsx</x:v>
      </x:c>
      <x:c r="B53" s="3" t="str">
        <x:v>source</x:v>
      </x:c>
      <x:c r="C53" s="3" t="n">
        <x:v>159</x:v>
      </x:c>
      <x:c r="D53" s="3" t="str">
        <x:v>UI</x:v>
      </x:c>
      <x:c r="E53" s="3" t="str">
        <x:v>UI-004, UI-005, UI-006, UI-007, UI-008, UI-009, UI-010</x:v>
      </x:c>
      <x:c r="F53" s="3" t="str">
        <x:v>ea2a79ec8317e87bd417d1e8d2a1d0197ca6ec607c0f83fd616bcf2e39f778ea</x:v>
      </x:c>
    </x:row>
    <x:row r="54" ht="36" customHeight="1">
      <x:c r="A54" s="3" t="str">
        <x:v>src/components/shared/service-guarantees.tsx</x:v>
      </x:c>
      <x:c r="B54" s="3" t="str">
        <x:v>source</x:v>
      </x:c>
      <x:c r="C54" s="3" t="n">
        <x:v>81</x:v>
      </x:c>
      <x:c r="D54" s="3" t="str">
        <x:v>UI</x:v>
      </x:c>
      <x:c r="E54" s="3" t="str">
        <x:v>Supporting source của module</x:v>
      </x:c>
      <x:c r="F54" s="3" t="str">
        <x:v>e8938993605f05f83fa65cd5e81f2a517836701078677d4e6aafe9b43c7f3da7</x:v>
      </x:c>
    </x:row>
    <x:row r="55" ht="36" customHeight="1">
      <x:c r="A55" s="3" t="str">
        <x:v>src/components/shared/site-footer.tsx</x:v>
      </x:c>
      <x:c r="B55" s="3" t="str">
        <x:v>source</x:v>
      </x:c>
      <x:c r="C55" s="3" t="n">
        <x:v>147</x:v>
      </x:c>
      <x:c r="D55" s="3" t="str">
        <x:v>UI</x:v>
      </x:c>
      <x:c r="E55" s="3" t="str">
        <x:v>UI-013</x:v>
      </x:c>
      <x:c r="F55" s="3" t="str">
        <x:v>b0fe2f1c894b4b705d95f4b7ad0465cdea1949b781422c20edaf79850137ca10</x:v>
      </x:c>
    </x:row>
    <x:row r="56" ht="36" customHeight="1">
      <x:c r="A56" s="3" t="str">
        <x:v>src/components/ui/alert.tsx</x:v>
      </x:c>
      <x:c r="B56" s="3" t="str">
        <x:v>source</x:v>
      </x:c>
      <x:c r="C56" s="3" t="n">
        <x:v>19</x:v>
      </x:c>
      <x:c r="D56" s="3" t="str">
        <x:v>UI</x:v>
      </x:c>
      <x:c r="E56" s="3" t="str">
        <x:v>Supporting source của module</x:v>
      </x:c>
      <x:c r="F56" s="3" t="str">
        <x:v>6fa93b5944d7bd338c07152588d47e3d5c1f2d0d2645eac7d55312a62c6b3f6f</x:v>
      </x:c>
    </x:row>
    <x:row r="57" ht="36" customHeight="1">
      <x:c r="A57" s="3" t="str">
        <x:v>src/components/ui/button.tsx</x:v>
      </x:c>
      <x:c r="B57" s="3" t="str">
        <x:v>source</x:v>
      </x:c>
      <x:c r="C57" s="3" t="n">
        <x:v>46</x:v>
      </x:c>
      <x:c r="D57" s="3" t="str">
        <x:v>UI</x:v>
      </x:c>
      <x:c r="E57" s="3" t="str">
        <x:v>Supporting source của module</x:v>
      </x:c>
      <x:c r="F57" s="3" t="str">
        <x:v>a5e5b6276c6968e8c78491a4131e01fd8f16f59181cc3b41c2f91ce7be040fd5</x:v>
      </x:c>
    </x:row>
    <x:row r="58" ht="36" customHeight="1">
      <x:c r="A58" s="3" t="str">
        <x:v>src/components/ui/calendar.tsx</x:v>
      </x:c>
      <x:c r="B58" s="3" t="str">
        <x:v>source</x:v>
      </x:c>
      <x:c r="C58" s="3" t="n">
        <x:v>72</x:v>
      </x:c>
      <x:c r="D58" s="3" t="str">
        <x:v>UI</x:v>
      </x:c>
      <x:c r="E58" s="3" t="str">
        <x:v>Supporting source của module</x:v>
      </x:c>
      <x:c r="F58" s="3" t="str">
        <x:v>8ebe4f57cbe8f6b31ff2fe65caf30a123790325c85faf12ed0ddec886a64e5ca</x:v>
      </x:c>
    </x:row>
    <x:row r="59" ht="36" customHeight="1">
      <x:c r="A59" s="3" t="str">
        <x:v>src/components/ui/card.tsx</x:v>
      </x:c>
      <x:c r="B59" s="3" t="str">
        <x:v>source</x:v>
      </x:c>
      <x:c r="C59" s="3" t="n">
        <x:v>23</x:v>
      </x:c>
      <x:c r="D59" s="3" t="str">
        <x:v>UI</x:v>
      </x:c>
      <x:c r="E59" s="3" t="str">
        <x:v>Supporting source của module</x:v>
      </x:c>
      <x:c r="F59" s="3" t="str">
        <x:v>dfbf85f1a6495bd8ccb0af394932da0f88cf4db6cc62d68e4e57e9dff54a14b7</x:v>
      </x:c>
    </x:row>
    <x:row r="60" ht="36" customHeight="1">
      <x:c r="A60" s="3" t="str">
        <x:v>src/components/ui/checkbox.tsx</x:v>
      </x:c>
      <x:c r="B60" s="3" t="str">
        <x:v>source</x:v>
      </x:c>
      <x:c r="C60" s="3" t="n">
        <x:v>35</x:v>
      </x:c>
      <x:c r="D60" s="3" t="str">
        <x:v>UI</x:v>
      </x:c>
      <x:c r="E60" s="3" t="str">
        <x:v>Supporting source của module</x:v>
      </x:c>
      <x:c r="F60" s="3" t="str">
        <x:v>a78d7b3ac24b6d713041a16b7fc80519b8f31d24ddef3fd738e9a06adc1fe0af</x:v>
      </x:c>
    </x:row>
    <x:row r="61" ht="36" customHeight="1">
      <x:c r="A61" s="3" t="str">
        <x:v>src/components/ui/command.tsx</x:v>
      </x:c>
      <x:c r="B61" s="3" t="str">
        <x:v>source</x:v>
      </x:c>
      <x:c r="C61" s="3" t="n">
        <x:v>72</x:v>
      </x:c>
      <x:c r="D61" s="3" t="str">
        <x:v>UI</x:v>
      </x:c>
      <x:c r="E61" s="3" t="str">
        <x:v>Supporting source của module</x:v>
      </x:c>
      <x:c r="F61" s="3" t="str">
        <x:v>8e6ed79ceb6fb6d8addca3f7cfb8f08138637f29b94c501403aea0243783ef57</x:v>
      </x:c>
    </x:row>
    <x:row r="62" ht="36" customHeight="1">
      <x:c r="A62" s="3" t="str">
        <x:v>src/components/ui/date-picker.tsx</x:v>
      </x:c>
      <x:c r="B62" s="3" t="str">
        <x:v>source</x:v>
      </x:c>
      <x:c r="C62" s="3" t="n">
        <x:v>73</x:v>
      </x:c>
      <x:c r="D62" s="3" t="str">
        <x:v>UI</x:v>
      </x:c>
      <x:c r="E62" s="3" t="str">
        <x:v>UI-022</x:v>
      </x:c>
      <x:c r="F62" s="3" t="str">
        <x:v>dec5f530500cec0552dd453731f5b888882c26527efdd72bb5dd05019dc1b8ce</x:v>
      </x:c>
    </x:row>
    <x:row r="63" ht="36" customHeight="1">
      <x:c r="A63" s="3" t="str">
        <x:v>src/components/ui/dialog.tsx</x:v>
      </x:c>
      <x:c r="B63" s="3" t="str">
        <x:v>source</x:v>
      </x:c>
      <x:c r="C63" s="3" t="n">
        <x:v>89</x:v>
      </x:c>
      <x:c r="D63" s="3" t="str">
        <x:v>UI</x:v>
      </x:c>
      <x:c r="E63" s="3" t="str">
        <x:v>Supporting source của module</x:v>
      </x:c>
      <x:c r="F63" s="3" t="str">
        <x:v>e89bf5bef55df0983448ebb7f9dd66e4ee1c13dc5ef7560eac3e5e2446347fcc</x:v>
      </x:c>
    </x:row>
    <x:row r="64" ht="36" customHeight="1">
      <x:c r="A64" s="3" t="str">
        <x:v>src/components/ui/form.tsx</x:v>
      </x:c>
      <x:c r="B64" s="3" t="str">
        <x:v>source</x:v>
      </x:c>
      <x:c r="C64" s="3" t="n">
        <x:v>125</x:v>
      </x:c>
      <x:c r="D64" s="3" t="str">
        <x:v>UI</x:v>
      </x:c>
      <x:c r="E64" s="3" t="str">
        <x:v>UI-020, UI-021, UI-023, UI-024</x:v>
      </x:c>
      <x:c r="F64" s="3" t="str">
        <x:v>6033f8946571ca99bb1a45f3c25eba1ebf800e9bfb5af9da6cd3e2b868a70ab8</x:v>
      </x:c>
    </x:row>
    <x:row r="65" ht="36" customHeight="1">
      <x:c r="A65" s="3" t="str">
        <x:v>src/components/ui/input.tsx</x:v>
      </x:c>
      <x:c r="B65" s="3" t="str">
        <x:v>source</x:v>
      </x:c>
      <x:c r="C65" s="3" t="n">
        <x:v>18</x:v>
      </x:c>
      <x:c r="D65" s="3" t="str">
        <x:v>UI</x:v>
      </x:c>
      <x:c r="E65" s="3" t="str">
        <x:v>Supporting source của module</x:v>
      </x:c>
      <x:c r="F65" s="3" t="str">
        <x:v>62fcb93e7f5cdc77e9338be5d8a4af698531df7755cba8d63559e12ba015f062</x:v>
      </x:c>
    </x:row>
    <x:row r="66" ht="36" customHeight="1">
      <x:c r="A66" s="3" t="str">
        <x:v>src/components/ui/label.tsx</x:v>
      </x:c>
      <x:c r="B66" s="3" t="str">
        <x:v>source</x:v>
      </x:c>
      <x:c r="C66" s="3" t="n">
        <x:v>19</x:v>
      </x:c>
      <x:c r="D66" s="3" t="str">
        <x:v>UI</x:v>
      </x:c>
      <x:c r="E66" s="3" t="str">
        <x:v>Supporting source của module</x:v>
      </x:c>
      <x:c r="F66" s="3" t="str">
        <x:v>951c21af4f37d12a7fdd93558ba5b780a9d3c877496d2990a01f64957560c97d</x:v>
      </x:c>
    </x:row>
    <x:row r="67" ht="36" customHeight="1">
      <x:c r="A67" s="3" t="str">
        <x:v>src/components/ui/number-input.tsx</x:v>
      </x:c>
      <x:c r="B67" s="3" t="str">
        <x:v>source</x:v>
      </x:c>
      <x:c r="C67" s="3" t="n">
        <x:v>13</x:v>
      </x:c>
      <x:c r="D67" s="3" t="str">
        <x:v>UI</x:v>
      </x:c>
      <x:c r="E67" s="3" t="str">
        <x:v>Supporting source của module</x:v>
      </x:c>
      <x:c r="F67" s="3" t="str">
        <x:v>6ee636545a692faca97b0e9097c7f2eec21d9c7ac3181bebf24be37789172d43</x:v>
      </x:c>
    </x:row>
    <x:row r="68" ht="36" customHeight="1">
      <x:c r="A68" s="3" t="str">
        <x:v>src/components/ui/popover.tsx</x:v>
      </x:c>
      <x:c r="B68" s="3" t="str">
        <x:v>source</x:v>
      </x:c>
      <x:c r="C68" s="3" t="n">
        <x:v>31</x:v>
      </x:c>
      <x:c r="D68" s="3" t="str">
        <x:v>UI</x:v>
      </x:c>
      <x:c r="E68" s="3" t="str">
        <x:v>Supporting source của module</x:v>
      </x:c>
      <x:c r="F68" s="3" t="str">
        <x:v>eb5d6fa7c0adc61fdc414884ea3ae0b1c98f41a7947abcabf42f298b05c8c02a</x:v>
      </x:c>
    </x:row>
    <x:row r="69" ht="36" customHeight="1">
      <x:c r="A69" s="3" t="str">
        <x:v>src/components/ui/progress.tsx</x:v>
      </x:c>
      <x:c r="B69" s="3" t="str">
        <x:v>source</x:v>
      </x:c>
      <x:c r="C69" s="3" t="n">
        <x:v>25</x:v>
      </x:c>
      <x:c r="D69" s="3" t="str">
        <x:v>UI</x:v>
      </x:c>
      <x:c r="E69" s="3" t="str">
        <x:v>Supporting source của module</x:v>
      </x:c>
      <x:c r="F69" s="3" t="str">
        <x:v>53463ede5667c41bfa7ccd3fb953adefaf44b62aff1d7ad3bb36259f5168ef34</x:v>
      </x:c>
    </x:row>
    <x:row r="70" ht="36" customHeight="1">
      <x:c r="A70" s="3" t="str">
        <x:v>src/components/ui/radio-group.tsx</x:v>
      </x:c>
      <x:c r="B70" s="3" t="str">
        <x:v>source</x:v>
      </x:c>
      <x:c r="C70" s="3" t="n">
        <x:v>35</x:v>
      </x:c>
      <x:c r="D70" s="3" t="str">
        <x:v>UI</x:v>
      </x:c>
      <x:c r="E70" s="3" t="str">
        <x:v>Supporting source của module</x:v>
      </x:c>
      <x:c r="F70" s="3" t="str">
        <x:v>7f3ad51c25a6a6e00697391f2e6bcb2166ade5d4fce60ff027be91b82ab2c610</x:v>
      </x:c>
    </x:row>
    <x:row r="71" ht="36" customHeight="1">
      <x:c r="A71" s="3" t="str">
        <x:v>src/components/ui/select.tsx</x:v>
      </x:c>
      <x:c r="B71" s="3" t="str">
        <x:v>source</x:v>
      </x:c>
      <x:c r="C71" s="3" t="n">
        <x:v>149</x:v>
      </x:c>
      <x:c r="D71" s="3" t="str">
        <x:v>UI</x:v>
      </x:c>
      <x:c r="E71" s="3" t="str">
        <x:v>Supporting source của module</x:v>
      </x:c>
      <x:c r="F71" s="3" t="str">
        <x:v>7acdfdf4b038732f32f0f4e4a4f2cab57f2ad38a735613ce860c8d608f6c2612</x:v>
      </x:c>
    </x:row>
    <x:row r="72" ht="36" customHeight="1">
      <x:c r="A72" s="3" t="str">
        <x:v>src/components/ui/skeleton.tsx</x:v>
      </x:c>
      <x:c r="B72" s="3" t="str">
        <x:v>source</x:v>
      </x:c>
      <x:c r="C72" s="3" t="n">
        <x:v>5</x:v>
      </x:c>
      <x:c r="D72" s="3" t="str">
        <x:v>UI</x:v>
      </x:c>
      <x:c r="E72" s="3" t="str">
        <x:v>Supporting source của module</x:v>
      </x:c>
      <x:c r="F72" s="3" t="str">
        <x:v>2512eed8a837dab5b9dc1b9de4d8cb9957c3abae882ed46e64acf7f152fc768c</x:v>
      </x:c>
    </x:row>
    <x:row r="73" ht="36" customHeight="1">
      <x:c r="A73" s="3" t="str">
        <x:v>src/components/ui/swiper-navigation.test.tsx</x:v>
      </x:c>
      <x:c r="B73" s="3" t="str">
        <x:v>test</x:v>
      </x:c>
      <x:c r="C73" s="3" t="n">
        <x:v>21</x:v>
      </x:c>
      <x:c r="D73" s="3" t="str">
        <x:v>UI</x:v>
      </x:c>
      <x:c r="E73" s="3" t="str">
        <x:v>Supporting source của module</x:v>
      </x:c>
      <x:c r="F73" s="3" t="str">
        <x:v>a918176cacae9746e51e80635b687202154c49428867c8271295d8d2c93b5285</x:v>
      </x:c>
    </x:row>
    <x:row r="74" ht="36" customHeight="1">
      <x:c r="A74" s="3" t="str">
        <x:v>src/components/ui/swiper-navigation.tsx</x:v>
      </x:c>
      <x:c r="B74" s="3" t="str">
        <x:v>source</x:v>
      </x:c>
      <x:c r="C74" s="3" t="n">
        <x:v>52</x:v>
      </x:c>
      <x:c r="D74" s="3" t="str">
        <x:v>UI</x:v>
      </x:c>
      <x:c r="E74" s="3" t="str">
        <x:v>UI-014, UI-015, UI-016, UI-017, UI-018, UI-019</x:v>
      </x:c>
      <x:c r="F74" s="3" t="str">
        <x:v>6b0d9dac5599bce2061dd352bb8e98e5e06b999743c688745718d071662c18ad</x:v>
      </x:c>
    </x:row>
    <x:row r="75" ht="36" customHeight="1">
      <x:c r="A75" s="3" t="str">
        <x:v>src/components/ui/table.tsx</x:v>
      </x:c>
      <x:c r="B75" s="3" t="str">
        <x:v>source</x:v>
      </x:c>
      <x:c r="C75" s="3" t="n">
        <x:v>56</x:v>
      </x:c>
      <x:c r="D75" s="3" t="str">
        <x:v>UI</x:v>
      </x:c>
      <x:c r="E75" s="3" t="str">
        <x:v>Supporting source của module</x:v>
      </x:c>
      <x:c r="F75" s="3" t="str">
        <x:v>4d0d9a708a0317984926b4e15cb3cda8625cfe05cb372ad214191ce726761af7</x:v>
      </x:c>
    </x:row>
    <x:row r="76" ht="36" customHeight="1">
      <x:c r="A76" s="3" t="str">
        <x:v>src/components/ui/textarea.tsx</x:v>
      </x:c>
      <x:c r="B76" s="3" t="str">
        <x:v>source</x:v>
      </x:c>
      <x:c r="C76" s="3" t="n">
        <x:v>17</x:v>
      </x:c>
      <x:c r="D76" s="3" t="str">
        <x:v>UI</x:v>
      </x:c>
      <x:c r="E76" s="3" t="str">
        <x:v>Supporting source của module</x:v>
      </x:c>
      <x:c r="F76" s="3" t="str">
        <x:v>31cd9656bc2a66da6fbf7db27b1072de002140d3f8321db99e58f400e3958bfc</x:v>
      </x:c>
    </x:row>
    <x:row r="77" ht="36" customHeight="1">
      <x:c r="A77" s="3" t="str">
        <x:v>src/config/client-env.test.ts</x:v>
      </x:c>
      <x:c r="B77" s="3" t="str">
        <x:v>test</x:v>
      </x:c>
      <x:c r="C77" s="3" t="n">
        <x:v>21</x:v>
      </x:c>
      <x:c r="D77" s="3" t="str">
        <x:v>SYS</x:v>
      </x:c>
      <x:c r="E77" s="3" t="str">
        <x:v>Supporting source của module</x:v>
      </x:c>
      <x:c r="F77" s="3" t="str">
        <x:v>1f43e1a0190edf4afd3408beee7b5e162f06246ad8cdbcae7c5333591fe0b073</x:v>
      </x:c>
    </x:row>
    <x:row r="78" ht="36" customHeight="1">
      <x:c r="A78" s="3" t="str">
        <x:v>src/config/client-env.ts</x:v>
      </x:c>
      <x:c r="B78" s="3" t="str">
        <x:v>source</x:v>
      </x:c>
      <x:c r="C78" s="3" t="n">
        <x:v>26</x:v>
      </x:c>
      <x:c r="D78" s="3" t="str">
        <x:v>SYS</x:v>
      </x:c>
      <x:c r="E78" s="3" t="str">
        <x:v>SYS-020, SYS-021</x:v>
      </x:c>
      <x:c r="F78" s="3" t="str">
        <x:v>7c309ad030902798493aea9539471113d1a01dac0aa2eb58870aef32e7b48f6c</x:v>
      </x:c>
    </x:row>
    <x:row r="79" ht="36" customHeight="1">
      <x:c r="A79" s="3" t="str">
        <x:v>src/config/site.test.ts</x:v>
      </x:c>
      <x:c r="B79" s="3" t="str">
        <x:v>test</x:v>
      </x:c>
      <x:c r="C79" s="3" t="n">
        <x:v>23</x:v>
      </x:c>
      <x:c r="D79" s="3" t="str">
        <x:v>SYS</x:v>
      </x:c>
      <x:c r="E79" s="3" t="str">
        <x:v>Supporting source của module</x:v>
      </x:c>
      <x:c r="F79" s="3" t="str">
        <x:v>3afc95b39f7e7b1b385265ad4519e0671a6b3cbe1a81f44a02699ed6609168c3</x:v>
      </x:c>
    </x:row>
    <x:row r="80" ht="36" customHeight="1">
      <x:c r="A80" s="3" t="str">
        <x:v>src/config/site.ts</x:v>
      </x:c>
      <x:c r="B80" s="3" t="str">
        <x:v>source</x:v>
      </x:c>
      <x:c r="C80" s="3" t="n">
        <x:v>32</x:v>
      </x:c>
      <x:c r="D80" s="3" t="str">
        <x:v>SYS</x:v>
      </x:c>
      <x:c r="E80" s="3" t="str">
        <x:v>SYS-020, SYS-021, SYS-022</x:v>
      </x:c>
      <x:c r="F80" s="3" t="str">
        <x:v>348a08853c5cf043a430a7eca2c2a22c1c3671a36cb03f847faf403b31206626</x:v>
      </x:c>
    </x:row>
    <x:row r="81" ht="36" customHeight="1">
      <x:c r="A81" s="3" t="str">
        <x:v>src/constants/calling-codes.json</x:v>
      </x:c>
      <x:c r="B81" s="3" t="str">
        <x:v>source</x:v>
      </x:c>
      <x:c r="C81" s="3" t="n">
        <x:v>1247</x:v>
      </x:c>
      <x:c r="D81" s="3" t="str">
        <x:v>UI</x:v>
      </x:c>
      <x:c r="E81" s="3" t="str">
        <x:v>Supporting source của module</x:v>
      </x:c>
      <x:c r="F81" s="3" t="str">
        <x:v>e900386a4dd306fe1ba9408fd186aaacb278bb0b766160c4872c7a232cd25598</x:v>
      </x:c>
    </x:row>
    <x:row r="82" ht="36" customHeight="1">
      <x:c r="A82" s="3" t="str">
        <x:v>src/constants/countries.json</x:v>
      </x:c>
      <x:c r="B82" s="3" t="str">
        <x:v>source</x:v>
      </x:c>
      <x:c r="C82" s="3" t="n">
        <x:v>998</x:v>
      </x:c>
      <x:c r="D82" s="3" t="str">
        <x:v>UI</x:v>
      </x:c>
      <x:c r="E82" s="3" t="str">
        <x:v>Supporting source của module</x:v>
      </x:c>
      <x:c r="F82" s="3" t="str">
        <x:v>e97c603f45e0cdf6502e497826e766496d8e880a58922460b01e4f8fc177ea38</x:v>
      </x:c>
    </x:row>
    <x:row r="83" ht="36" customHeight="1">
      <x:c r="A83" s="3" t="str">
        <x:v>src/constants/country-data.test.ts</x:v>
      </x:c>
      <x:c r="B83" s="3" t="str">
        <x:v>test</x:v>
      </x:c>
      <x:c r="C83" s="3" t="n">
        <x:v>54</x:v>
      </x:c>
      <x:c r="D83" s="3" t="str">
        <x:v>UI</x:v>
      </x:c>
      <x:c r="E83" s="3" t="str">
        <x:v>Supporting source của module</x:v>
      </x:c>
      <x:c r="F83" s="3" t="str">
        <x:v>921b1dfe56fba14a962ba815d5f99c642a28b9d806d12a1f37f306164f8f2dad</x:v>
      </x:c>
    </x:row>
    <x:row r="84" ht="36" customHeight="1">
      <x:c r="A84" s="3" t="str">
        <x:v>src/constants/country-options.ts</x:v>
      </x:c>
      <x:c r="B84" s="3" t="str">
        <x:v>source</x:v>
      </x:c>
      <x:c r="C84" s="3" t="n">
        <x:v>40</x:v>
      </x:c>
      <x:c r="D84" s="3" t="str">
        <x:v>UI</x:v>
      </x:c>
      <x:c r="E84" s="3" t="str">
        <x:v>UI-004, UI-005, UI-006, UI-007, UI-008, UI-009, UI-010</x:v>
      </x:c>
      <x:c r="F84" s="3" t="str">
        <x:v>371e1b524880d99b2737afcb8ed25229fa6cd9d9d3fae2ef1b18a7ff8ddf53ff</x:v>
      </x:c>
    </x:row>
    <x:row r="85" ht="36" customHeight="1">
      <x:c r="A85" s="3" t="str">
        <x:v>src/constants/flag.json</x:v>
      </x:c>
      <x:c r="B85" s="3" t="str">
        <x:v>source</x:v>
      </x:c>
      <x:c r="C85" s="3" t="n">
        <x:v>1305</x:v>
      </x:c>
      <x:c r="D85" s="3" t="str">
        <x:v>UI</x:v>
      </x:c>
      <x:c r="E85" s="3" t="str">
        <x:v>Supporting source của module</x:v>
      </x:c>
      <x:c r="F85" s="3" t="str">
        <x:v>1439a4e9f35597ccb21e59f6d85edd21c3fc78e3c6e1b4862d2de20f919ec6b6</x:v>
      </x:c>
    </x:row>
    <x:row r="86" ht="36" customHeight="1">
      <x:c r="A86" s="3" t="str">
        <x:v>src/features/about/about.data.ts</x:v>
      </x:c>
      <x:c r="B86" s="3" t="str">
        <x:v>source</x:v>
      </x:c>
      <x:c r="C86" s="3" t="n">
        <x:v>32</x:v>
      </x:c>
      <x:c r="D86" s="3" t="str">
        <x:v>CMS</x:v>
      </x:c>
      <x:c r="E86" s="3" t="str">
        <x:v>Supporting source của module</x:v>
      </x:c>
      <x:c r="F86" s="3" t="str">
        <x:v>aa209c0022327f9d05158819499cc350b102283187c10c158a0b99aaf512cbc8</x:v>
      </x:c>
    </x:row>
    <x:row r="87" ht="36" customHeight="1">
      <x:c r="A87" s="3" t="str">
        <x:v>src/features/about/components/about-cta.tsx</x:v>
      </x:c>
      <x:c r="B87" s="3" t="str">
        <x:v>source</x:v>
      </x:c>
      <x:c r="C87" s="3" t="n">
        <x:v>47</x:v>
      </x:c>
      <x:c r="D87" s="3" t="str">
        <x:v>CMS</x:v>
      </x:c>
      <x:c r="E87" s="3" t="str">
        <x:v>Supporting source của module</x:v>
      </x:c>
      <x:c r="F87" s="3" t="str">
        <x:v>c2b90331e264accdfbb0bb9e2bb721e33c21927fbf05d60a4664177b9bbf9b80</x:v>
      </x:c>
    </x:row>
    <x:row r="88" ht="36" customHeight="1">
      <x:c r="A88" s="3" t="str">
        <x:v>src/features/about/components/about-hero.tsx</x:v>
      </x:c>
      <x:c r="B88" s="3" t="str">
        <x:v>source</x:v>
      </x:c>
      <x:c r="C88" s="3" t="n">
        <x:v>58</x:v>
      </x:c>
      <x:c r="D88" s="3" t="str">
        <x:v>CMS</x:v>
      </x:c>
      <x:c r="E88" s="3" t="str">
        <x:v>Supporting source của module</x:v>
      </x:c>
      <x:c r="F88" s="3" t="str">
        <x:v>1f1c934aa8e338c3ba5bf5bbc3bd3b1ff870cd96cd12b01971a96e5b50f4ce61</x:v>
      </x:c>
    </x:row>
    <x:row r="89" ht="36" customHeight="1">
      <x:c r="A89" s="3" t="str">
        <x:v>src/features/about/components/about-narrative.tsx</x:v>
      </x:c>
      <x:c r="B89" s="3" t="str">
        <x:v>source</x:v>
      </x:c>
      <x:c r="C89" s="3" t="n">
        <x:v>18</x:v>
      </x:c>
      <x:c r="D89" s="3" t="str">
        <x:v>CMS</x:v>
      </x:c>
      <x:c r="E89" s="3" t="str">
        <x:v>Supporting source của module</x:v>
      </x:c>
      <x:c r="F89" s="3" t="str">
        <x:v>453c845e783a09831818ac01a066168497e09cf6f2f601f47da92fc7a7ed1955</x:v>
      </x:c>
    </x:row>
    <x:row r="90" ht="36" customHeight="1">
      <x:c r="A90" s="3" t="str">
        <x:v>src/features/about/components/about-screen.test.tsx</x:v>
      </x:c>
      <x:c r="B90" s="3" t="str">
        <x:v>test</x:v>
      </x:c>
      <x:c r="C90" s="3" t="n">
        <x:v>15</x:v>
      </x:c>
      <x:c r="D90" s="3" t="str">
        <x:v>CMS</x:v>
      </x:c>
      <x:c r="E90" s="3" t="str">
        <x:v>Supporting source của module</x:v>
      </x:c>
      <x:c r="F90" s="3" t="str">
        <x:v>32b0825ca8da7ab29988d28bf61f9d77bcc030b250fd287e3f3709436364e14a</x:v>
      </x:c>
    </x:row>
    <x:row r="91" ht="36" customHeight="1">
      <x:c r="A91" s="3" t="str">
        <x:v>src/features/about/components/about-screen.tsx</x:v>
      </x:c>
      <x:c r="B91" s="3" t="str">
        <x:v>source</x:v>
      </x:c>
      <x:c r="C91" s="3" t="n">
        <x:v>48</x:v>
      </x:c>
      <x:c r="D91" s="3" t="str">
        <x:v>CMS</x:v>
      </x:c>
      <x:c r="E91" s="3" t="str">
        <x:v>CMS-009</x:v>
      </x:c>
      <x:c r="F91" s="3" t="str">
        <x:v>bbf31937e42d559dec469db112e448a48b481c383cc86e4d656c3d05d51a9c3a</x:v>
      </x:c>
    </x:row>
    <x:row r="92" ht="36" customHeight="1">
      <x:c r="A92" s="3" t="str">
        <x:v>src/features/about/components/about-values.tsx</x:v>
      </x:c>
      <x:c r="B92" s="3" t="str">
        <x:v>source</x:v>
      </x:c>
      <x:c r="C92" s="3" t="n">
        <x:v>29</x:v>
      </x:c>
      <x:c r="D92" s="3" t="str">
        <x:v>CMS</x:v>
      </x:c>
      <x:c r="E92" s="3" t="str">
        <x:v>Supporting source của module</x:v>
      </x:c>
      <x:c r="F92" s="3" t="str">
        <x:v>0c9815d68ea415cd9708e26970fb4645088eebc7bbe095c6e338bc402e3bd139</x:v>
      </x:c>
    </x:row>
    <x:row r="93" ht="36" customHeight="1">
      <x:c r="A93" s="3" t="str">
        <x:v>src/features/about/components/trusted-partners.tsx</x:v>
      </x:c>
      <x:c r="B93" s="3" t="str">
        <x:v>source</x:v>
      </x:c>
      <x:c r="C93" s="3" t="n">
        <x:v>26</x:v>
      </x:c>
      <x:c r="D93" s="3" t="str">
        <x:v>CMS</x:v>
      </x:c>
      <x:c r="E93" s="3" t="str">
        <x:v>Supporting source của module</x:v>
      </x:c>
      <x:c r="F93" s="3" t="str">
        <x:v>802f289c77f14272a2e8ccfaecd39818468b2ce670058ed7a333723c6ca0f4ef</x:v>
      </x:c>
    </x:row>
    <x:row r="94" ht="36" customHeight="1">
      <x:c r="A94" s="3" t="str">
        <x:v>src/features/about/index.ts</x:v>
      </x:c>
      <x:c r="B94" s="3" t="str">
        <x:v>source</x:v>
      </x:c>
      <x:c r="C94" s="3" t="n">
        <x:v>1</x:v>
      </x:c>
      <x:c r="D94" s="3" t="str">
        <x:v>CMS</x:v>
      </x:c>
      <x:c r="E94" s="3" t="str">
        <x:v>Supporting source của module</x:v>
      </x:c>
      <x:c r="F94" s="3" t="str">
        <x:v>bcdf3f8ff5081ad45728818cb09599e3eb078dccb03f352d68cad9803aed4171</x:v>
      </x:c>
    </x:row>
    <x:row r="95" ht="36" customHeight="1">
      <x:c r="A95" s="3" t="str">
        <x:v>src/features/auth/api/auth-session-query-keys.ts</x:v>
      </x:c>
      <x:c r="B95" s="3" t="str">
        <x:v>source</x:v>
      </x:c>
      <x:c r="C95" s="3" t="n">
        <x:v>4</x:v>
      </x:c>
      <x:c r="D95" s="3" t="str">
        <x:v>AUTH</x:v>
      </x:c>
      <x:c r="E95" s="3" t="str">
        <x:v>Supporting source của module</x:v>
      </x:c>
      <x:c r="F95" s="3" t="str">
        <x:v>9a2946dd3e6103335846be0ce14fa43b721c07a8bccf680bc907a84f68ac9066</x:v>
      </x:c>
    </x:row>
    <x:row r="96" ht="36" customHeight="1">
      <x:c r="A96" s="3" t="str">
        <x:v>src/features/auth/api/auth.service.test.ts</x:v>
      </x:c>
      <x:c r="B96" s="3" t="str">
        <x:v>test</x:v>
      </x:c>
      <x:c r="C96" s="3" t="n">
        <x:v>156</x:v>
      </x:c>
      <x:c r="D96" s="3" t="str">
        <x:v>AUTH</x:v>
      </x:c>
      <x:c r="E96" s="3" t="str">
        <x:v>Supporting source của module</x:v>
      </x:c>
      <x:c r="F96" s="3" t="str">
        <x:v>bd400f3c9929bfcaf444aeacda43d1e90f85f8a2693b83041ceb552d9c006d7e</x:v>
      </x:c>
    </x:row>
    <x:row r="97" ht="55.5" customHeight="1">
      <x:c r="A97" s="3" t="str">
        <x:v>src/features/auth/api/auth.service.ts</x:v>
      </x:c>
      <x:c r="B97" s="3" t="str">
        <x:v>source</x:v>
      </x:c>
      <x:c r="C97" s="3" t="n">
        <x:v>106</x:v>
      </x:c>
      <x:c r="D97" s="3" t="str">
        <x:v>AUTH</x:v>
      </x:c>
      <x:c r="E97" s="3" t="str">
        <x:v>AUTH-001, AUTH-002, AUTH-011, AUTH-012, AUTH-013, AUTH-014, AUTH-015, AUTH-031, AUTH-032, AUTH-033, AUTH-034, AUTH-050, AUTH-053, AUTH-054, AUTH-055, AUTH-056</x:v>
      </x:c>
      <x:c r="F97" s="3" t="str">
        <x:v>e7bd9732ece064a89340df39852706eaa70fedca4569f88466ae266723290419</x:v>
      </x:c>
    </x:row>
    <x:row r="98" ht="36" customHeight="1">
      <x:c r="A98" s="3" t="str">
        <x:v>src/features/auth/api/use-auth-session-query.ts</x:v>
      </x:c>
      <x:c r="B98" s="3" t="str">
        <x:v>source</x:v>
      </x:c>
      <x:c r="C98" s="3" t="n">
        <x:v>12</x:v>
      </x:c>
      <x:c r="D98" s="3" t="str">
        <x:v>AUTH</x:v>
      </x:c>
      <x:c r="E98" s="3" t="str">
        <x:v>Supporting source của module</x:v>
      </x:c>
      <x:c r="F98" s="3" t="str">
        <x:v>11795877fbb6fd8440248e7d969f18e38b07e96daa58a99b70c1fce29e029ed2</x:v>
      </x:c>
    </x:row>
    <x:row r="99" ht="36" customHeight="1">
      <x:c r="A99" s="3" t="str">
        <x:v>src/features/auth/api/use-forgot-password-mutation.ts</x:v>
      </x:c>
      <x:c r="B99" s="3" t="str">
        <x:v>source</x:v>
      </x:c>
      <x:c r="C99" s="3" t="n">
        <x:v>15</x:v>
      </x:c>
      <x:c r="D99" s="3" t="str">
        <x:v>AUTH</x:v>
      </x:c>
      <x:c r="E99" s="3" t="str">
        <x:v>Supporting source của module</x:v>
      </x:c>
      <x:c r="F99" s="3" t="str">
        <x:v>9934bdbfa13e6519292f2523f5537d02b7f0a8dc53a7008e95bf2d36e810c18e</x:v>
      </x:c>
    </x:row>
    <x:row r="100" ht="36" customHeight="1">
      <x:c r="A100" s="3" t="str">
        <x:v>src/features/auth/api/use-login-mutation.ts</x:v>
      </x:c>
      <x:c r="B100" s="3" t="str">
        <x:v>source</x:v>
      </x:c>
      <x:c r="C100" s="3" t="n">
        <x:v>22</x:v>
      </x:c>
      <x:c r="D100" s="3" t="str">
        <x:v>AUTH</x:v>
      </x:c>
      <x:c r="E100" s="3" t="str">
        <x:v>SYS-012, SYS-013, SYS-014, SYS-015</x:v>
      </x:c>
      <x:c r="F100" s="3" t="str">
        <x:v>317f5796581b313dbd5e48978ba149327dfae55adc71e4c38b7ff67406be7981</x:v>
      </x:c>
    </x:row>
    <x:row r="101" ht="36" customHeight="1">
      <x:c r="A101" s="3" t="str">
        <x:v>src/features/auth/api/use-logout-mutation.ts</x:v>
      </x:c>
      <x:c r="B101" s="3" t="str">
        <x:v>source</x:v>
      </x:c>
      <x:c r="C101" s="3" t="n">
        <x:v>16</x:v>
      </x:c>
      <x:c r="D101" s="3" t="str">
        <x:v>AUTH</x:v>
      </x:c>
      <x:c r="E101" s="3" t="str">
        <x:v>AUTH-057, SYS-006</x:v>
      </x:c>
      <x:c r="F101" s="3" t="str">
        <x:v>9a4365f127a84fcee0f70bc009cbaaeff37f15c058982585dcf68b60c6da89b2</x:v>
      </x:c>
    </x:row>
    <x:row r="102" ht="36" customHeight="1">
      <x:c r="A102" s="3" t="str">
        <x:v>src/features/auth/api/use-signup-mutation.ts</x:v>
      </x:c>
      <x:c r="B102" s="3" t="str">
        <x:v>source</x:v>
      </x:c>
      <x:c r="C102" s="3" t="n">
        <x:v>15</x:v>
      </x:c>
      <x:c r="D102" s="3" t="str">
        <x:v>AUTH</x:v>
      </x:c>
      <x:c r="E102" s="3" t="str">
        <x:v>Supporting source của module</x:v>
      </x:c>
      <x:c r="F102" s="3" t="str">
        <x:v>820b49d2c070affeb1ba8f58cd29f04c698dd2ea365c0ced2176166a3655f97c</x:v>
      </x:c>
    </x:row>
    <x:row r="103" ht="36" customHeight="1">
      <x:c r="A103" s="3" t="str">
        <x:v>src/features/auth/components/auth-shell.test.tsx</x:v>
      </x:c>
      <x:c r="B103" s="3" t="str">
        <x:v>test</x:v>
      </x:c>
      <x:c r="C103" s="3" t="n">
        <x:v>14</x:v>
      </x:c>
      <x:c r="D103" s="3" t="str">
        <x:v>AUTH</x:v>
      </x:c>
      <x:c r="E103" s="3" t="str">
        <x:v>Supporting source của module</x:v>
      </x:c>
      <x:c r="F103" s="3" t="str">
        <x:v>ed8778038d5627539b79c640c406fe6800d5a4b348f8db814a69dc867ca2e3c2</x:v>
      </x:c>
    </x:row>
    <x:row r="104" ht="36" customHeight="1">
      <x:c r="A104" s="3" t="str">
        <x:v>src/features/auth/components/auth-shell.tsx</x:v>
      </x:c>
      <x:c r="B104" s="3" t="str">
        <x:v>source</x:v>
      </x:c>
      <x:c r="C104" s="3" t="n">
        <x:v>53</x:v>
      </x:c>
      <x:c r="D104" s="3" t="str">
        <x:v>AUTH</x:v>
      </x:c>
      <x:c r="E104" s="3" t="str">
        <x:v>Supporting source của module</x:v>
      </x:c>
      <x:c r="F104" s="3" t="str">
        <x:v>820519fd81860bdbf69d7269a48f2ccd20050ec87201f43509c9e4964745087b</x:v>
      </x:c>
    </x:row>
    <x:row r="105" ht="36" customHeight="1">
      <x:c r="A105" s="3" t="str">
        <x:v>src/features/auth/components/auth-stepper.tsx</x:v>
      </x:c>
      <x:c r="B105" s="3" t="str">
        <x:v>source</x:v>
      </x:c>
      <x:c r="C105" s="3" t="n">
        <x:v>61</x:v>
      </x:c>
      <x:c r="D105" s="3" t="str">
        <x:v>AUTH</x:v>
      </x:c>
      <x:c r="E105" s="3" t="str">
        <x:v>Supporting source của module</x:v>
      </x:c>
      <x:c r="F105" s="3" t="str">
        <x:v>0ea908287a5512e3e789bee4608beedb8466949a1dad49516c2937aae322d062</x:v>
      </x:c>
    </x:row>
    <x:row r="106" ht="36" customHeight="1">
      <x:c r="A106" s="3" t="str">
        <x:v>src/features/auth/components/forgot-password-form.test.tsx</x:v>
      </x:c>
      <x:c r="B106" s="3" t="str">
        <x:v>test</x:v>
      </x:c>
      <x:c r="C106" s="3" t="n">
        <x:v>55</x:v>
      </x:c>
      <x:c r="D106" s="3" t="str">
        <x:v>AUTH</x:v>
      </x:c>
      <x:c r="E106" s="3" t="str">
        <x:v>Supporting source của module</x:v>
      </x:c>
      <x:c r="F106" s="3" t="str">
        <x:v>b7f42a6c08612a409352134189e48a19af412b207270b7e86063184b8ef6c4fd</x:v>
      </x:c>
    </x:row>
    <x:row r="107" ht="36" customHeight="1">
      <x:c r="A107" s="3" t="str">
        <x:v>src/features/auth/components/forgot-password-form.tsx</x:v>
      </x:c>
      <x:c r="B107" s="3" t="str">
        <x:v>source</x:v>
      </x:c>
      <x:c r="C107" s="3" t="n">
        <x:v>210</x:v>
      </x:c>
      <x:c r="D107" s="3" t="str">
        <x:v>AUTH</x:v>
      </x:c>
      <x:c r="E107" s="3" t="str">
        <x:v>AUTH-053, AUTH-054, AUTH-055, AUTH-056</x:v>
      </x:c>
      <x:c r="F107" s="3" t="str">
        <x:v>acfe8ef42ac6e922c8c4e741b1dd33c77e6051779b2cca5c7299f180b9067fd0</x:v>
      </x:c>
    </x:row>
    <x:row r="108" ht="36" customHeight="1">
      <x:c r="A108" s="3" t="str">
        <x:v>src/features/auth/components/forgot-password-reset-form.tsx</x:v>
      </x:c>
      <x:c r="B108" s="3" t="str">
        <x:v>source</x:v>
      </x:c>
      <x:c r="C108" s="3" t="n">
        <x:v>96</x:v>
      </x:c>
      <x:c r="D108" s="3" t="str">
        <x:v>AUTH</x:v>
      </x:c>
      <x:c r="E108" s="3" t="str">
        <x:v>Supporting source của module</x:v>
      </x:c>
      <x:c r="F108" s="3" t="str">
        <x:v>5ed0f84195a253ea6b48027d9ac9b36108e1dfe72d0bff86bb70e9c81feeac41</x:v>
      </x:c>
    </x:row>
    <x:row r="109" ht="36" customHeight="1">
      <x:c r="A109" s="3" t="str">
        <x:v>src/features/auth/components/header-account-menu.test.tsx</x:v>
      </x:c>
      <x:c r="B109" s="3" t="str">
        <x:v>test</x:v>
      </x:c>
      <x:c r="C109" s="3" t="n">
        <x:v>48</x:v>
      </x:c>
      <x:c r="D109" s="3" t="str">
        <x:v>AUTH</x:v>
      </x:c>
      <x:c r="E109" s="3" t="str">
        <x:v>Supporting source của module</x:v>
      </x:c>
      <x:c r="F109" s="3" t="str">
        <x:v>e6ec1a418e012f247e674254c534dcfde2124d5e19a1a05740b9d9652faf124e</x:v>
      </x:c>
    </x:row>
    <x:row r="110" ht="36" customHeight="1">
      <x:c r="A110" s="3" t="str">
        <x:v>src/features/auth/components/header-account-menu.tsx</x:v>
      </x:c>
      <x:c r="B110" s="3" t="str">
        <x:v>source</x:v>
      </x:c>
      <x:c r="C110" s="3" t="n">
        <x:v>94</x:v>
      </x:c>
      <x:c r="D110" s="3" t="str">
        <x:v>AUTH</x:v>
      </x:c>
      <x:c r="E110" s="3" t="str">
        <x:v>AUTH-057</x:v>
      </x:c>
      <x:c r="F110" s="3" t="str">
        <x:v>f796bd6826b16ba196f7c596a1804402a5f63b53364084a9565cd30da48ed845</x:v>
      </x:c>
    </x:row>
    <x:row r="111" ht="36" customHeight="1">
      <x:c r="A111" s="3" t="str">
        <x:v>src/features/auth/components/login-form.test.tsx</x:v>
      </x:c>
      <x:c r="B111" s="3" t="str">
        <x:v>test</x:v>
      </x:c>
      <x:c r="C111" s="3" t="n">
        <x:v>97</x:v>
      </x:c>
      <x:c r="D111" s="3" t="str">
        <x:v>AUTH</x:v>
      </x:c>
      <x:c r="E111" s="3" t="str">
        <x:v>Supporting source của module</x:v>
      </x:c>
      <x:c r="F111" s="3" t="str">
        <x:v>1f0234b10e7c6f210d98448fe87a442de5e492daa012310c065541a697d66f0c</x:v>
      </x:c>
    </x:row>
    <x:row r="112" ht="40" customHeight="1">
      <x:c r="A112" s="3" t="str">
        <x:v>src/features/auth/components/login-form.tsx</x:v>
      </x:c>
      <x:c r="B112" s="3" t="str">
        <x:v>source</x:v>
      </x:c>
      <x:c r="C112" s="3" t="n">
        <x:v>107</x:v>
      </x:c>
      <x:c r="D112" s="3" t="str">
        <x:v>AUTH</x:v>
      </x:c>
      <x:c r="E112" s="3" t="str">
        <x:v>AUTH-001, AUTH-002, AUTH-011, AUTH-012, AUTH-013, AUTH-014, AUTH-058</x:v>
      </x:c>
      <x:c r="F112" s="3" t="str">
        <x:v>e3af78f2017dff9f7474b9c9624ac580feb4ec77062a689754d9d76c6beee607</x:v>
      </x:c>
    </x:row>
    <x:row r="113" ht="36" customHeight="1">
      <x:c r="A113" s="3" t="str">
        <x:v>src/features/auth/components/logout-button.tsx</x:v>
      </x:c>
      <x:c r="B113" s="3" t="str">
        <x:v>source</x:v>
      </x:c>
      <x:c r="C113" s="3" t="n">
        <x:v>28</x:v>
      </x:c>
      <x:c r="D113" s="3" t="str">
        <x:v>AUTH</x:v>
      </x:c>
      <x:c r="E113" s="3" t="str">
        <x:v>Supporting source của module</x:v>
      </x:c>
      <x:c r="F113" s="3" t="str">
        <x:v>3919585ac77d4894ca9e2a7fe2b590bfb6681462519f5d013194a98950e4f53b</x:v>
      </x:c>
    </x:row>
    <x:row r="114" ht="36" customHeight="1">
      <x:c r="A114" s="3" t="str">
        <x:v>src/features/auth/components/signup-account-form.tsx</x:v>
      </x:c>
      <x:c r="B114" s="3" t="str">
        <x:v>source</x:v>
      </x:c>
      <x:c r="C114" s="3" t="n">
        <x:v>94</x:v>
      </x:c>
      <x:c r="D114" s="3" t="str">
        <x:v>AUTH</x:v>
      </x:c>
      <x:c r="E114" s="3" t="str">
        <x:v>Supporting source của module</x:v>
      </x:c>
      <x:c r="F114" s="3" t="str">
        <x:v>e8e38b9d68edc99a455e7528bb283b6f86e1c3f521cd2cbea2da75557e78034c</x:v>
      </x:c>
    </x:row>
    <x:row r="115" ht="36" customHeight="1">
      <x:c r="A115" s="3" t="str">
        <x:v>src/features/auth/components/signup-fields.tsx</x:v>
      </x:c>
      <x:c r="B115" s="3" t="str">
        <x:v>source</x:v>
      </x:c>
      <x:c r="C115" s="3" t="n">
        <x:v>147</x:v>
      </x:c>
      <x:c r="D115" s="3" t="str">
        <x:v>AUTH</x:v>
      </x:c>
      <x:c r="E115" s="3" t="str">
        <x:v>Supporting source của module</x:v>
      </x:c>
      <x:c r="F115" s="3" t="str">
        <x:v>4662530e19aa5d1c21868079fbc59104c7731802d4a671f7dd73f2a1a58aefb0</x:v>
      </x:c>
    </x:row>
    <x:row r="116" ht="36" customHeight="1">
      <x:c r="A116" s="3" t="str">
        <x:v>src/features/auth/components/signup-form.test.tsx</x:v>
      </x:c>
      <x:c r="B116" s="3" t="str">
        <x:v>test</x:v>
      </x:c>
      <x:c r="C116" s="3" t="n">
        <x:v>80</x:v>
      </x:c>
      <x:c r="D116" s="3" t="str">
        <x:v>AUTH</x:v>
      </x:c>
      <x:c r="E116" s="3" t="str">
        <x:v>Supporting source của module</x:v>
      </x:c>
      <x:c r="F116" s="3" t="str">
        <x:v>71463b1d651fa4e819a71405ace8349dc2925f48425a24755496c98cfa48e3a9</x:v>
      </x:c>
    </x:row>
    <x:row r="117" ht="40" customHeight="1">
      <x:c r="A117" s="3" t="str">
        <x:v>src/features/auth/components/signup-form.tsx</x:v>
      </x:c>
      <x:c r="B117" s="3" t="str">
        <x:v>source</x:v>
      </x:c>
      <x:c r="C117" s="3" t="n">
        <x:v>134</x:v>
      </x:c>
      <x:c r="D117" s="3" t="str">
        <x:v>AUTH</x:v>
      </x:c>
      <x:c r="E117" s="3" t="str">
        <x:v>AUTH-015, AUTH-031, AUTH-032, AUTH-033, AUTH-034, AUTH-050, AUTH-058</x:v>
      </x:c>
      <x:c r="F117" s="3" t="str">
        <x:v>4021983a8a5bdd222aaab4e9be0794625f8b1a8a3ae26b5161b1fe7496bc130c</x:v>
      </x:c>
    </x:row>
    <x:row r="118" ht="36" customHeight="1">
      <x:c r="A118" s="3" t="str">
        <x:v>src/features/auth/components/signup-password-form.tsx</x:v>
      </x:c>
      <x:c r="B118" s="3" t="str">
        <x:v>source</x:v>
      </x:c>
      <x:c r="C118" s="3" t="n">
        <x:v>84</x:v>
      </x:c>
      <x:c r="D118" s="3" t="str">
        <x:v>AUTH</x:v>
      </x:c>
      <x:c r="E118" s="3" t="str">
        <x:v>Supporting source của module</x:v>
      </x:c>
      <x:c r="F118" s="3" t="str">
        <x:v>b0f13f8fc9c43edebb1c7b17bd0793021089ddc483f9b0ffa02cab6d49ac1a19</x:v>
      </x:c>
    </x:row>
    <x:row r="119" ht="40" customHeight="1">
      <x:c r="A119" s="3" t="str">
        <x:v>src/features/auth/components/signup-verification-form.tsx</x:v>
      </x:c>
      <x:c r="B119" s="3" t="str">
        <x:v>source</x:v>
      </x:c>
      <x:c r="C119" s="3" t="n">
        <x:v>248</x:v>
      </x:c>
      <x:c r="D119" s="3" t="str">
        <x:v>AUTH</x:v>
      </x:c>
      <x:c r="E119" s="3" t="str">
        <x:v>AUTH-035, AUTH-036, AUTH-037, AUTH-042, AUTH-043, AUTH-044, AUTH-045, AUTH-046, AUTH-047, AUTH-058</x:v>
      </x:c>
      <x:c r="F119" s="3" t="str">
        <x:v>b157effa6d501fc20a180679a06b21fc2fd98c1577c087f1e3adeab5a4b73cf0</x:v>
      </x:c>
    </x:row>
    <x:row r="120" ht="36" customHeight="1">
      <x:c r="A120" s="3" t="str">
        <x:v>src/features/auth/index.ts</x:v>
      </x:c>
      <x:c r="B120" s="3" t="str">
        <x:v>source</x:v>
      </x:c>
      <x:c r="C120" s="3" t="n">
        <x:v>8</x:v>
      </x:c>
      <x:c r="D120" s="3" t="str">
        <x:v>AUTH</x:v>
      </x:c>
      <x:c r="E120" s="3" t="str">
        <x:v>Supporting source của module</x:v>
      </x:c>
      <x:c r="F120" s="3" t="str">
        <x:v>0d6ca07045073030d94ba4345fd3462fa58b15279eec94d5aa60bf6e98f0c770</x:v>
      </x:c>
    </x:row>
    <x:row r="121" ht="36" customHeight="1">
      <x:c r="A121" s="3" t="str">
        <x:v>src/features/auth/schemas/auth-session.schema.ts</x:v>
      </x:c>
      <x:c r="B121" s="3" t="str">
        <x:v>source</x:v>
      </x:c>
      <x:c r="C121" s="3" t="n">
        <x:v>16</x:v>
      </x:c>
      <x:c r="D121" s="3" t="str">
        <x:v>AUTH</x:v>
      </x:c>
      <x:c r="E121" s="3" t="str">
        <x:v>Supporting source của module</x:v>
      </x:c>
      <x:c r="F121" s="3" t="str">
        <x:v>b85e167ea63d9c9d44747d0fc656103625d61a566b8f6bd5c501dd36d9d82c62</x:v>
      </x:c>
    </x:row>
    <x:row r="122" ht="36" customHeight="1">
      <x:c r="A122" s="3" t="str">
        <x:v>src/features/auth/schemas/forgot-password.schema.test.ts</x:v>
      </x:c>
      <x:c r="B122" s="3" t="str">
        <x:v>test</x:v>
      </x:c>
      <x:c r="C122" s="3" t="n">
        <x:v>40</x:v>
      </x:c>
      <x:c r="D122" s="3" t="str">
        <x:v>AUTH</x:v>
      </x:c>
      <x:c r="E122" s="3" t="str">
        <x:v>Supporting source của module</x:v>
      </x:c>
      <x:c r="F122" s="3" t="str">
        <x:v>685c507c9952115365282c6c9c6ccc5c02e8c39dd995597f30c40e85b618ee38</x:v>
      </x:c>
    </x:row>
    <x:row r="123" ht="71" customHeight="1">
      <x:c r="A123" s="3" t="str">
        <x:v>src/features/auth/schemas/forgot-password.schema.ts</x:v>
      </x:c>
      <x:c r="B123" s="3" t="str">
        <x:v>source</x:v>
      </x:c>
      <x:c r="C123" s="3" t="n">
        <x:v>45</x:v>
      </x:c>
      <x:c r="D123" s="3" t="str">
        <x:v>AUTH</x:v>
      </x:c>
      <x:c r="E123" s="3" t="str">
        <x:v>AUTH-035, AUTH-036, AUTH-037, AUTH-038, AUTH-039, AUTH-040, AUTH-041, AUTH-042, AUTH-043, AUTH-044, AUTH-045, AUTH-046, AUTH-047, AUTH-051, AUTH-052, AUTH-053, AUTH-054, AUTH-055, AUTH-056</x:v>
      </x:c>
      <x:c r="F123" s="3" t="str">
        <x:v>616def295b4303268320d108bbfcd5bb01fccd84b2d00c77cbcb2492c6611cfe</x:v>
      </x:c>
    </x:row>
    <x:row r="124" ht="36" customHeight="1">
      <x:c r="A124" s="3" t="str">
        <x:v>src/features/auth/schemas/login.schema.test.ts</x:v>
      </x:c>
      <x:c r="B124" s="3" t="str">
        <x:v>test</x:v>
      </x:c>
      <x:c r="C124" s="3" t="n">
        <x:v>23</x:v>
      </x:c>
      <x:c r="D124" s="3" t="str">
        <x:v>AUTH</x:v>
      </x:c>
      <x:c r="E124" s="3" t="str">
        <x:v>Supporting source của module</x:v>
      </x:c>
      <x:c r="F124" s="3" t="str">
        <x:v>4eeac4e7bd6a100a3b23a5c7442115d5cd93d66b13ac6ed1a017c4f54dc5bbf1</x:v>
      </x:c>
    </x:row>
    <x:row r="125" ht="55.5" customHeight="1">
      <x:c r="A125" s="3" t="str">
        <x:v>src/features/auth/schemas/login.schema.ts</x:v>
      </x:c>
      <x:c r="B125" s="3" t="str">
        <x:v>source</x:v>
      </x:c>
      <x:c r="C125" s="3" t="n">
        <x:v>8</x:v>
      </x:c>
      <x:c r="D125" s="3" t="str">
        <x:v>AUTH</x:v>
      </x:c>
      <x:c r="E125" s="3" t="str">
        <x:v>AUTH-001, AUTH-002, AUTH-003, AUTH-004, AUTH-005, AUTH-006, AUTH-007, AUTH-008, AUTH-009, AUTH-010, AUTH-011, AUTH-012, AUTH-013, AUTH-014</x:v>
      </x:c>
      <x:c r="F125" s="3" t="str">
        <x:v>2350b1db772e069aaa5aa93f2d5e1b152c6724d9810810728f9cecf041ef3bde</x:v>
      </x:c>
    </x:row>
    <x:row r="126" ht="36" customHeight="1">
      <x:c r="A126" s="3" t="str">
        <x:v>src/features/auth/schemas/signup.schema.test.ts</x:v>
      </x:c>
      <x:c r="B126" s="3" t="str">
        <x:v>test</x:v>
      </x:c>
      <x:c r="C126" s="3" t="n">
        <x:v>49</x:v>
      </x:c>
      <x:c r="D126" s="3" t="str">
        <x:v>AUTH</x:v>
      </x:c>
      <x:c r="E126" s="3" t="str">
        <x:v>Supporting source của module</x:v>
      </x:c>
      <x:c r="F126" s="3" t="str">
        <x:v>2d1d61aebe53e5ef798b884c7d407de729324f145a9b945f15bd467e6e82794d</x:v>
      </x:c>
    </x:row>
    <x:row r="127" ht="102" customHeight="1">
      <x:c r="A127" s="3" t="str">
        <x:v>src/features/auth/schemas/signup.schema.ts</x:v>
      </x:c>
      <x:c r="B127" s="3" t="str">
        <x:v>source</x:v>
      </x:c>
      <x:c r="C127" s="3" t="n">
        <x:v>61</x:v>
      </x:c>
      <x:c r="D127" s="3" t="str">
        <x:v>AUTH</x:v>
      </x:c>
      <x:c r="E127" s="3" t="str">
        <x:v>AUTH-015, AUTH-016, AUTH-017, AUTH-018, AUTH-019, AUTH-020, AUTH-021, AUTH-022, AUTH-023, AUTH-024, AUTH-025, AUTH-026, AUTH-027, AUTH-028, AUTH-029, AUTH-030, AUTH-031, AUTH-032, AUTH-033, AUTH-034, AUTH-035, AUTH-036, AUTH-037, AUTH-038, AUTH-039, AUTH-040, AUTH-041, AUTH-042, AUTH-043, AUTH-044, AUTH-045, AUTH-046, AUTH-047, AUTH-048, AUTH-049, AUTH-050</x:v>
      </x:c>
      <x:c r="F127" s="3" t="str">
        <x:v>23f3b48f552a505788b8a9e3a7f33aa5a6f1e1b0e91c55dc0a4bcf96cc9193cd</x:v>
      </x:c>
    </x:row>
    <x:row r="128" ht="36" customHeight="1">
      <x:c r="A128" s="3" t="str">
        <x:v>src/features/brands/brand.types.ts</x:v>
      </x:c>
      <x:c r="B128" s="3" t="str">
        <x:v>source</x:v>
      </x:c>
      <x:c r="C128" s="3" t="n">
        <x:v>6</x:v>
      </x:c>
      <x:c r="D128" s="3" t="str">
        <x:v>CAT</x:v>
      </x:c>
      <x:c r="E128" s="3" t="str">
        <x:v>Supporting source của module</x:v>
      </x:c>
      <x:c r="F128" s="3" t="str">
        <x:v>f122c488db1c3118e71d55bac7aed779e5fda00968516c555f4daf2263defb4b</x:v>
      </x:c>
    </x:row>
    <x:row r="129" ht="36" customHeight="1">
      <x:c r="A129" s="3" t="str">
        <x:v>src/features/brands/index.ts</x:v>
      </x:c>
      <x:c r="B129" s="3" t="str">
        <x:v>source</x:v>
      </x:c>
      <x:c r="C129" s="3" t="n">
        <x:v>1</x:v>
      </x:c>
      <x:c r="D129" s="3" t="str">
        <x:v>CAT</x:v>
      </x:c>
      <x:c r="E129" s="3" t="str">
        <x:v>Supporting source của module</x:v>
      </x:c>
      <x:c r="F129" s="3" t="str">
        <x:v>580989d070f4ab7b5e24bf4a82bf722bec2f1b57a789dd1006316a497321b593</x:v>
      </x:c>
    </x:row>
    <x:row r="130" ht="36" customHeight="1">
      <x:c r="A130" s="3" t="str">
        <x:v>src/features/brands/schemas/brand.schema.ts</x:v>
      </x:c>
      <x:c r="B130" s="3" t="str">
        <x:v>source</x:v>
      </x:c>
      <x:c r="C130" s="3" t="n">
        <x:v>17</x:v>
      </x:c>
      <x:c r="D130" s="3" t="str">
        <x:v>CAT</x:v>
      </x:c>
      <x:c r="E130" s="3" t="str">
        <x:v>Supporting source của module</x:v>
      </x:c>
      <x:c r="F130" s="3" t="str">
        <x:v>54be631a9a0ee7a1a3c4fb5a6ec68d8831a133f1d2be6aac6d1dab986dadb2d7</x:v>
      </x:c>
    </x:row>
    <x:row r="131" ht="36" customHeight="1">
      <x:c r="A131" s="3" t="str">
        <x:v>src/features/brands/server.test.ts</x:v>
      </x:c>
      <x:c r="B131" s="3" t="str">
        <x:v>test</x:v>
      </x:c>
      <x:c r="C131" s="3" t="n">
        <x:v>88</x:v>
      </x:c>
      <x:c r="D131" s="3" t="str">
        <x:v>CAT</x:v>
      </x:c>
      <x:c r="E131" s="3" t="str">
        <x:v>Supporting source của module</x:v>
      </x:c>
      <x:c r="F131" s="3" t="str">
        <x:v>ec5b412a8acafd5a6389a38218f6807a7ba9a0486e582b97126b8302dbaebde5</x:v>
      </x:c>
    </x:row>
    <x:row r="132" ht="36" customHeight="1">
      <x:c r="A132" s="3" t="str">
        <x:v>src/features/brands/server.ts</x:v>
      </x:c>
      <x:c r="B132" s="3" t="str">
        <x:v>source</x:v>
      </x:c>
      <x:c r="C132" s="3" t="n">
        <x:v>26</x:v>
      </x:c>
      <x:c r="D132" s="3" t="str">
        <x:v>CAT</x:v>
      </x:c>
      <x:c r="E132" s="3" t="str">
        <x:v>CAT-019, CAT-029</x:v>
      </x:c>
      <x:c r="F132" s="3" t="str">
        <x:v>11b62263182e89d455f5b2f627f6a61e882afd0d742cdf1f4a820deafa7b8b1e</x:v>
      </x:c>
    </x:row>
    <x:row r="133" ht="36" customHeight="1">
      <x:c r="A133" s="3" t="str">
        <x:v>src/features/brands/utils/map-public-brand.ts</x:v>
      </x:c>
      <x:c r="B133" s="3" t="str">
        <x:v>source</x:v>
      </x:c>
      <x:c r="C133" s="3" t="n">
        <x:v>41</x:v>
      </x:c>
      <x:c r="D133" s="3" t="str">
        <x:v>CAT</x:v>
      </x:c>
      <x:c r="E133" s="3" t="str">
        <x:v>CAT-029</x:v>
      </x:c>
      <x:c r="F133" s="3" t="str">
        <x:v>a8cb3a99b9520ed204b8ac3dd39f6c0b747b095fb64802eed90dde94fae1a885</x:v>
      </x:c>
    </x:row>
    <x:row r="134" ht="36" customHeight="1">
      <x:c r="A134" s="3" t="str">
        <x:v>src/features/categories/index.ts</x:v>
      </x:c>
      <x:c r="B134" s="3" t="str">
        <x:v>source</x:v>
      </x:c>
      <x:c r="C134" s="3" t="n">
        <x:v>2</x:v>
      </x:c>
      <x:c r="D134" s="3" t="str">
        <x:v>CAT, UI</x:v>
      </x:c>
      <x:c r="E134" s="3" t="str">
        <x:v>Supporting source của module</x:v>
      </x:c>
      <x:c r="F134" s="3" t="str">
        <x:v>08361c3223e543d392f635ae355057f74ffa0c3f7bd9d3439298e30e741d7b8e</x:v>
      </x:c>
    </x:row>
    <x:row r="135" ht="36" customHeight="1">
      <x:c r="A135" s="3" t="str">
        <x:v>src/features/categories/schemas/category.schema.ts</x:v>
      </x:c>
      <x:c r="B135" s="3" t="str">
        <x:v>source</x:v>
      </x:c>
      <x:c r="C135" s="3" t="n">
        <x:v>77</x:v>
      </x:c>
      <x:c r="D135" s="3" t="str">
        <x:v>CAT, UI</x:v>
      </x:c>
      <x:c r="E135" s="3" t="str">
        <x:v>Supporting source của module</x:v>
      </x:c>
      <x:c r="F135" s="3" t="str">
        <x:v>311f5260ce9e57053e114f772f0e27ef792eb8831d5bc6fd98ee5ff427b8fb95</x:v>
      </x:c>
    </x:row>
    <x:row r="136" ht="36" customHeight="1">
      <x:c r="A136" s="3" t="str">
        <x:v>src/features/categories/server.test.ts</x:v>
      </x:c>
      <x:c r="B136" s="3" t="str">
        <x:v>test</x:v>
      </x:c>
      <x:c r="C136" s="3" t="n">
        <x:v>75</x:v>
      </x:c>
      <x:c r="D136" s="3" t="str">
        <x:v>CAT, UI</x:v>
      </x:c>
      <x:c r="E136" s="3" t="str">
        <x:v>Supporting source của module</x:v>
      </x:c>
      <x:c r="F136" s="3" t="str">
        <x:v>54521b27d470f13fddca6784ab0214c1e69a29785c95a79017a922aaf54f7a22</x:v>
      </x:c>
    </x:row>
    <x:row r="137" ht="40" customHeight="1">
      <x:c r="A137" s="3" t="str">
        <x:v>src/features/categories/server.ts</x:v>
      </x:c>
      <x:c r="B137" s="3" t="str">
        <x:v>source</x:v>
      </x:c>
      <x:c r="C137" s="3" t="n">
        <x:v>17</x:v>
      </x:c>
      <x:c r="D137" s="3" t="str">
        <x:v>CAT, UI</x:v>
      </x:c>
      <x:c r="E137" s="3" t="str">
        <x:v>CAT-011, CAT-012, CAT-013, CAT-014, CAT-015, CAT-016, CAT-017, CAT-018, CAT-019, CAT-026</x:v>
      </x:c>
      <x:c r="F137" s="3" t="str">
        <x:v>e775eb0a85d3d8b0054a6b3f43f076b97c8df76f3793b4fc378f0af87d8fe205</x:v>
      </x:c>
    </x:row>
    <x:row r="138" ht="36" customHeight="1">
      <x:c r="A138" s="3" t="str">
        <x:v>src/features/categories/utils/build-category-tree.test.ts</x:v>
      </x:c>
      <x:c r="B138" s="3" t="str">
        <x:v>test</x:v>
      </x:c>
      <x:c r="C138" s="3" t="n">
        <x:v>63</x:v>
      </x:c>
      <x:c r="D138" s="3" t="str">
        <x:v>CAT, UI</x:v>
      </x:c>
      <x:c r="E138" s="3" t="str">
        <x:v>Supporting source của module</x:v>
      </x:c>
      <x:c r="F138" s="3" t="str">
        <x:v>bae899831153955d958fab039e58b58f2c38ed19b30ceb134ebad8e82e425093</x:v>
      </x:c>
    </x:row>
    <x:row r="139" ht="36" customHeight="1">
      <x:c r="A139" s="3" t="str">
        <x:v>src/features/categories/utils/build-category-tree.ts</x:v>
      </x:c>
      <x:c r="B139" s="3" t="str">
        <x:v>source</x:v>
      </x:c>
      <x:c r="C139" s="3" t="n">
        <x:v>48</x:v>
      </x:c>
      <x:c r="D139" s="3" t="str">
        <x:v>CAT, UI</x:v>
      </x:c>
      <x:c r="E139" s="3" t="str">
        <x:v>CAT-025</x:v>
      </x:c>
      <x:c r="F139" s="3" t="str">
        <x:v>a29ad148c400e94c4ba1b22a1ae471179c2c39be37909c9a26f1fd6797d82ad8</x:v>
      </x:c>
    </x:row>
    <x:row r="140" ht="36" customHeight="1">
      <x:c r="A140" s="3" t="str">
        <x:v>src/features/checkout/api/cart-query-keys.ts</x:v>
      </x:c>
      <x:c r="B140" s="3" t="str">
        <x:v>source</x:v>
      </x:c>
      <x:c r="C140" s="3" t="n">
        <x:v>4</x:v>
      </x:c>
      <x:c r="D140" s="3" t="str">
        <x:v>CART, CHK, PAY, QUOTE</x:v>
      </x:c>
      <x:c r="E140" s="3" t="str">
        <x:v>Supporting source của module</x:v>
      </x:c>
      <x:c r="F140" s="3" t="str">
        <x:v>1f78677d378a477db181694fce4c7099ce7edf41d26dfd92742e469939c66384</x:v>
      </x:c>
    </x:row>
    <x:row r="141" ht="36" customHeight="1">
      <x:c r="A141" s="3" t="str">
        <x:v>src/features/checkout/api/cart.service.test.ts</x:v>
      </x:c>
      <x:c r="B141" s="3" t="str">
        <x:v>test</x:v>
      </x:c>
      <x:c r="C141" s="3" t="n">
        <x:v>129</x:v>
      </x:c>
      <x:c r="D141" s="3" t="str">
        <x:v>CART, CHK, PAY, QUOTE</x:v>
      </x:c>
      <x:c r="E141" s="3" t="str">
        <x:v>Supporting source của module</x:v>
      </x:c>
      <x:c r="F141" s="3" t="str">
        <x:v>20352fd74a68c472903202ea3dd11880f92d3f13b785d3f57040ec6e077c7b5d</x:v>
      </x:c>
    </x:row>
    <x:row r="142" ht="36" customHeight="1">
      <x:c r="A142" s="3" t="str">
        <x:v>src/features/checkout/api/cart.service.ts</x:v>
      </x:c>
      <x:c r="B142" s="3" t="str">
        <x:v>source</x:v>
      </x:c>
      <x:c r="C142" s="3" t="n">
        <x:v>36</x:v>
      </x:c>
      <x:c r="D142" s="3" t="str">
        <x:v>CART, CHK, PAY, QUOTE</x:v>
      </x:c>
      <x:c r="E142" s="3" t="str">
        <x:v>CART-001, CART-002, CART-003, CART-012, CART-013, CART-025</x:v>
      </x:c>
      <x:c r="F142" s="3" t="str">
        <x:v>caa46a38cb55fdcf29630f9f7be743807802ca51105199dbe7a6d606d22ade6a</x:v>
      </x:c>
    </x:row>
    <x:row r="143" ht="36" customHeight="1">
      <x:c r="A143" s="3" t="str">
        <x:v>src/features/checkout/api/checkout.service.ts</x:v>
      </x:c>
      <x:c r="B143" s="3" t="str">
        <x:v>source</x:v>
      </x:c>
      <x:c r="C143" s="3" t="n">
        <x:v>36</x:v>
      </x:c>
      <x:c r="D143" s="3" t="str">
        <x:v>CART, CHK, PAY, QUOTE</x:v>
      </x:c>
      <x:c r="E143" s="3" t="str">
        <x:v>CHK-022, PAY-012, PAY-013, PAY-014, PAY-017</x:v>
      </x:c>
      <x:c r="F143" s="3" t="str">
        <x:v>ab32af6df5d0833cbe628ecc7d7d15544de098bf33118a51228fd652b99fd8fc</x:v>
      </x:c>
    </x:row>
    <x:row r="144" ht="36" customHeight="1">
      <x:c r="A144" s="3" t="str">
        <x:v>src/features/checkout/api/quote.service.ts</x:v>
      </x:c>
      <x:c r="B144" s="3" t="str">
        <x:v>source</x:v>
      </x:c>
      <x:c r="C144" s="3" t="n">
        <x:v>19</x:v>
      </x:c>
      <x:c r="D144" s="3" t="str">
        <x:v>CART, CHK, PAY, QUOTE</x:v>
      </x:c>
      <x:c r="E144" s="3" t="str">
        <x:v>QUOTE-008</x:v>
      </x:c>
      <x:c r="F144" s="3" t="str">
        <x:v>a7b130b9a6dfb766b0edc8eb90042b08154661843c98ccf9959f33d0f310271c</x:v>
      </x:c>
    </x:row>
    <x:row r="145" ht="36" customHeight="1">
      <x:c r="A145" s="3" t="str">
        <x:v>src/features/checkout/api/use-add-cart-item-mutation.ts</x:v>
      </x:c>
      <x:c r="B145" s="3" t="str">
        <x:v>source</x:v>
      </x:c>
      <x:c r="C145" s="3" t="n">
        <x:v>13</x:v>
      </x:c>
      <x:c r="D145" s="3" t="str">
        <x:v>CART, CHK, PAY, QUOTE</x:v>
      </x:c>
      <x:c r="E145" s="3" t="str">
        <x:v>Supporting source của module</x:v>
      </x:c>
      <x:c r="F145" s="3" t="str">
        <x:v>c3c3960148c2595ad47238be2f8d7aad265754dceaef70d01ac83736d9876ef0</x:v>
      </x:c>
    </x:row>
    <x:row r="146" ht="36" customHeight="1">
      <x:c r="A146" s="3" t="str">
        <x:v>src/features/checkout/api/use-cart-query.ts</x:v>
      </x:c>
      <x:c r="B146" s="3" t="str">
        <x:v>source</x:v>
      </x:c>
      <x:c r="C146" s="3" t="n">
        <x:v>12</x:v>
      </x:c>
      <x:c r="D146" s="3" t="str">
        <x:v>CART, CHK, PAY, QUOTE</x:v>
      </x:c>
      <x:c r="E146" s="3" t="str">
        <x:v>Supporting source của module</x:v>
      </x:c>
      <x:c r="F146" s="3" t="str">
        <x:v>4d66ef3ee6be67b80b2ba8b69022f6ebde13a7a53725140f00ad46971e28e5f2</x:v>
      </x:c>
    </x:row>
    <x:row r="147" ht="36" customHeight="1">
      <x:c r="A147" s="3" t="str">
        <x:v>src/features/checkout/api/use-complete-payment-mutation.ts</x:v>
      </x:c>
      <x:c r="B147" s="3" t="str">
        <x:v>source</x:v>
      </x:c>
      <x:c r="C147" s="3" t="n">
        <x:v>7</x:v>
      </x:c>
      <x:c r="D147" s="3" t="str">
        <x:v>CART, CHK, PAY, QUOTE</x:v>
      </x:c>
      <x:c r="E147" s="3" t="str">
        <x:v>Supporting source của module</x:v>
      </x:c>
      <x:c r="F147" s="3" t="str">
        <x:v>ecb356bcf7c1128f65a18b75b10e28069f294eaf32754afb2f2c11ce9cbf3ece</x:v>
      </x:c>
    </x:row>
    <x:row r="148" ht="36" customHeight="1">
      <x:c r="A148" s="3" t="str">
        <x:v>src/features/checkout/api/use-create-checkout-mutation.ts</x:v>
      </x:c>
      <x:c r="B148" s="3" t="str">
        <x:v>source</x:v>
      </x:c>
      <x:c r="C148" s="3" t="n">
        <x:v>7</x:v>
      </x:c>
      <x:c r="D148" s="3" t="str">
        <x:v>CART, CHK, PAY, QUOTE</x:v>
      </x:c>
      <x:c r="E148" s="3" t="str">
        <x:v>Supporting source của module</x:v>
      </x:c>
      <x:c r="F148" s="3" t="str">
        <x:v>06947cd6ad2e21d4d1dbb3512ca290c1ec33292c5a225dd7e4ce105c1d4102b5</x:v>
      </x:c>
    </x:row>
    <x:row r="149" ht="36" customHeight="1">
      <x:c r="A149" s="3" t="str">
        <x:v>src/features/checkout/api/use-remove-cart-item-mutation.ts</x:v>
      </x:c>
      <x:c r="B149" s="3" t="str">
        <x:v>source</x:v>
      </x:c>
      <x:c r="C149" s="3" t="n">
        <x:v>19</x:v>
      </x:c>
      <x:c r="D149" s="3" t="str">
        <x:v>CART, CHK, PAY, QUOTE</x:v>
      </x:c>
      <x:c r="E149" s="3" t="str">
        <x:v>CART-014, CART-015, CART-016, CART-017</x:v>
      </x:c>
      <x:c r="F149" s="3" t="str">
        <x:v>17e6171bfdbaebfb05fa49b3427ca839d8ed9c48bfb502bfb860ed70eb2701e3</x:v>
      </x:c>
    </x:row>
    <x:row r="150" ht="36" customHeight="1">
      <x:c r="A150" s="3" t="str">
        <x:v>src/features/checkout/api/use-submit-quote-mutation.ts</x:v>
      </x:c>
      <x:c r="B150" s="3" t="str">
        <x:v>source</x:v>
      </x:c>
      <x:c r="C150" s="3" t="n">
        <x:v>7</x:v>
      </x:c>
      <x:c r="D150" s="3" t="str">
        <x:v>CART, CHK, PAY, QUOTE</x:v>
      </x:c>
      <x:c r="E150" s="3" t="str">
        <x:v>Supporting source của module</x:v>
      </x:c>
      <x:c r="F150" s="3" t="str">
        <x:v>66d60740acced0369021f5297a1d3ac3f20cbafaac670e9cbc1186d8289c22e1</x:v>
      </x:c>
    </x:row>
    <x:row r="151" ht="40" customHeight="1">
      <x:c r="A151" s="3" t="str">
        <x:v>src/features/checkout/api/use-update-cart-item-mutation.ts</x:v>
      </x:c>
      <x:c r="B151" s="3" t="str">
        <x:v>source</x:v>
      </x:c>
      <x:c r="C151" s="3" t="n">
        <x:v>12</x:v>
      </x:c>
      <x:c r="D151" s="3" t="str">
        <x:v>CART, CHK, PAY, QUOTE</x:v>
      </x:c>
      <x:c r="E151" s="3" t="str">
        <x:v>CART-007, CART-008, CART-009, CART-010, CART-011, CART-016, CART-017</x:v>
      </x:c>
      <x:c r="F151" s="3" t="str">
        <x:v>57470078e450ee4a9b1eedf2e0f73b69572f7790de0211e44a4dee955235f448</x:v>
      </x:c>
    </x:row>
    <x:row r="152" ht="36" customHeight="1">
      <x:c r="A152" s="3" t="str">
        <x:v>src/features/checkout/checkout.types.ts</x:v>
      </x:c>
      <x:c r="B152" s="3" t="str">
        <x:v>source</x:v>
      </x:c>
      <x:c r="C152" s="3" t="n">
        <x:v>21</x:v>
      </x:c>
      <x:c r="D152" s="3" t="str">
        <x:v>CART, CHK, PAY, QUOTE</x:v>
      </x:c>
      <x:c r="E152" s="3" t="str">
        <x:v>Supporting source của module</x:v>
      </x:c>
      <x:c r="F152" s="3" t="str">
        <x:v>628e78cf98a7f2617366fb4ae6e818a2fd891b370e1eed6b564c3ed10c67f7c2</x:v>
      </x:c>
    </x:row>
    <x:row r="153" ht="36" customHeight="1">
      <x:c r="A153" s="3" t="str">
        <x:v>src/features/checkout/components/address-fields.test.tsx</x:v>
      </x:c>
      <x:c r="B153" s="3" t="str">
        <x:v>test</x:v>
      </x:c>
      <x:c r="C153" s="3" t="n">
        <x:v>50</x:v>
      </x:c>
      <x:c r="D153" s="3" t="str">
        <x:v>CART, CHK, PAY, QUOTE</x:v>
      </x:c>
      <x:c r="E153" s="3" t="str">
        <x:v>Supporting source của module</x:v>
      </x:c>
      <x:c r="F153" s="3" t="str">
        <x:v>f3e5602fd602c992a495225a91fcdb9bea94535399b40a413cd37d0faf4289f5</x:v>
      </x:c>
    </x:row>
    <x:row r="154" ht="36" customHeight="1">
      <x:c r="A154" s="3" t="str">
        <x:v>src/features/checkout/components/address-fields.tsx</x:v>
      </x:c>
      <x:c r="B154" s="3" t="str">
        <x:v>source</x:v>
      </x:c>
      <x:c r="C154" s="3" t="n">
        <x:v>160</x:v>
      </x:c>
      <x:c r="D154" s="3" t="str">
        <x:v>CART, CHK, PAY, QUOTE</x:v>
      </x:c>
      <x:c r="E154" s="3" t="str">
        <x:v>CHK-016, CHK-017</x:v>
      </x:c>
      <x:c r="F154" s="3" t="str">
        <x:v>6a59bbf2b321263f359cba00cc46b905cd6d6850c1b27c813eb31629d46824ef</x:v>
      </x:c>
    </x:row>
    <x:row r="155" ht="36" customHeight="1">
      <x:c r="A155" s="3" t="str">
        <x:v>src/features/checkout/components/billing-section.tsx</x:v>
      </x:c>
      <x:c r="B155" s="3" t="str">
        <x:v>source</x:v>
      </x:c>
      <x:c r="C155" s="3" t="n">
        <x:v>65</x:v>
      </x:c>
      <x:c r="D155" s="3" t="str">
        <x:v>CART, CHK, PAY, QUOTE</x:v>
      </x:c>
      <x:c r="E155" s="3" t="str">
        <x:v>CHK-018, CHK-019</x:v>
      </x:c>
      <x:c r="F155" s="3" t="str">
        <x:v>f81d8ed7425557fdd1e9c63eb159e5207466ac61e9fb87938750e10522b8c97e</x:v>
      </x:c>
    </x:row>
    <x:row r="156" ht="36" customHeight="1">
      <x:c r="A156" s="3" t="str">
        <x:v>src/features/checkout/components/cart-header-popover.test.tsx</x:v>
      </x:c>
      <x:c r="B156" s="3" t="str">
        <x:v>test</x:v>
      </x:c>
      <x:c r="C156" s="3" t="n">
        <x:v>24</x:v>
      </x:c>
      <x:c r="D156" s="3" t="str">
        <x:v>CART, CHK, PAY, QUOTE</x:v>
      </x:c>
      <x:c r="E156" s="3" t="str">
        <x:v>Supporting source của module</x:v>
      </x:c>
      <x:c r="F156" s="3" t="str">
        <x:v>e23cf4deaafc543edceaecfb039ed999d5aaea73808f11ddd05c7e492e322a55</x:v>
      </x:c>
    </x:row>
    <x:row r="157" ht="36" customHeight="1">
      <x:c r="A157" s="3" t="str">
        <x:v>src/features/checkout/components/cart-header-popover.tsx</x:v>
      </x:c>
      <x:c r="B157" s="3" t="str">
        <x:v>source</x:v>
      </x:c>
      <x:c r="C157" s="3" t="n">
        <x:v>159</x:v>
      </x:c>
      <x:c r="D157" s="3" t="str">
        <x:v>CART, CHK, PAY, QUOTE</x:v>
      </x:c>
      <x:c r="E157" s="3" t="str">
        <x:v>CART-014, CART-015, CART-022, CART-023, CART-024</x:v>
      </x:c>
      <x:c r="F157" s="3" t="str">
        <x:v>dca361d047c4fad904a17e2a0be4b7dba51d8a70efa81a255a4797ea26affc3b</x:v>
      </x:c>
    </x:row>
    <x:row r="158" ht="36" customHeight="1">
      <x:c r="A158" s="3" t="str">
        <x:v>src/features/checkout/components/cart-items-table.test.tsx</x:v>
      </x:c>
      <x:c r="B158" s="3" t="str">
        <x:v>test</x:v>
      </x:c>
      <x:c r="C158" s="3" t="n">
        <x:v>117</x:v>
      </x:c>
      <x:c r="D158" s="3" t="str">
        <x:v>CART, CHK, PAY, QUOTE</x:v>
      </x:c>
      <x:c r="E158" s="3" t="str">
        <x:v>Supporting source của module</x:v>
      </x:c>
      <x:c r="F158" s="3" t="str">
        <x:v>8efcb2aa938292ea97e8336f3663352a6f9577db1dca18eddf6361c6a0343664</x:v>
      </x:c>
    </x:row>
    <x:row r="159" ht="40" customHeight="1">
      <x:c r="A159" s="3" t="str">
        <x:v>src/features/checkout/components/cart-items-table.tsx</x:v>
      </x:c>
      <x:c r="B159" s="3" t="str">
        <x:v>source</x:v>
      </x:c>
      <x:c r="C159" s="3" t="n">
        <x:v>218</x:v>
      </x:c>
      <x:c r="D159" s="3" t="str">
        <x:v>CART, CHK, PAY, QUOTE</x:v>
      </x:c>
      <x:c r="E159" s="3" t="str">
        <x:v>CART-007, CART-008, CART-009, CART-010, CART-011, CART-012, CART-013, CART-016, CART-017</x:v>
      </x:c>
      <x:c r="F159" s="3" t="str">
        <x:v>fd64261774da2b255cae0d0ffd927ccab9d8d3e1c393b7495639d90614b7a499</x:v>
      </x:c>
    </x:row>
    <x:row r="160" ht="40" customHeight="1">
      <x:c r="A160" s="3" t="str">
        <x:v>src/features/checkout/components/cart-order-summary.tsx</x:v>
      </x:c>
      <x:c r="B160" s="3" t="str">
        <x:v>source</x:v>
      </x:c>
      <x:c r="C160" s="3" t="n">
        <x:v>92</x:v>
      </x:c>
      <x:c r="D160" s="3" t="str">
        <x:v>CART, CHK, PAY, QUOTE</x:v>
      </x:c>
      <x:c r="E160" s="3" t="str">
        <x:v>CART-004, CART-005, CART-006, CART-018, CART-019, CART-020, CART-024</x:v>
      </x:c>
      <x:c r="F160" s="3" t="str">
        <x:v>0dc7f3e239bb8336cfde4da489ab2aeb42500ed05ba606fa03edf3f81dc864e2</x:v>
      </x:c>
    </x:row>
    <x:row r="161" ht="36" customHeight="1">
      <x:c r="A161" s="3" t="str">
        <x:v>src/features/checkout/components/cart-screen.test.tsx</x:v>
      </x:c>
      <x:c r="B161" s="3" t="str">
        <x:v>test</x:v>
      </x:c>
      <x:c r="C161" s="3" t="n">
        <x:v>68</x:v>
      </x:c>
      <x:c r="D161" s="3" t="str">
        <x:v>CART, CHK, PAY, QUOTE</x:v>
      </x:c>
      <x:c r="E161" s="3" t="str">
        <x:v>Supporting source của module</x:v>
      </x:c>
      <x:c r="F161" s="3" t="str">
        <x:v>6f7dd919e157e21e2a55597f064eb24c78fb18102c14c77004a136aa1ea981df</x:v>
      </x:c>
    </x:row>
    <x:row r="162" ht="40" customHeight="1">
      <x:c r="A162" s="3" t="str">
        <x:v>src/features/checkout/components/cart-screen.tsx</x:v>
      </x:c>
      <x:c r="B162" s="3" t="str">
        <x:v>source</x:v>
      </x:c>
      <x:c r="C162" s="3" t="n">
        <x:v>78</x:v>
      </x:c>
      <x:c r="D162" s="3" t="str">
        <x:v>CART, CHK, PAY, QUOTE</x:v>
      </x:c>
      <x:c r="E162" s="3" t="str">
        <x:v>CART-001, CART-002, CART-003, CART-004, CART-005, CART-006, CART-014, CART-015, CART-021</x:v>
      </x:c>
      <x:c r="F162" s="3" t="str">
        <x:v>8b0a1c4307b20393611260bd9a622f506d96b88ac4e155512de95a84e8438cb0</x:v>
      </x:c>
    </x:row>
    <x:row r="163" ht="36" customHeight="1">
      <x:c r="A163" s="3" t="str">
        <x:v>src/features/checkout/components/checkout-items.tsx</x:v>
      </x:c>
      <x:c r="B163" s="3" t="str">
        <x:v>source</x:v>
      </x:c>
      <x:c r="C163" s="3" t="n">
        <x:v>71</x:v>
      </x:c>
      <x:c r="D163" s="3" t="str">
        <x:v>CART, CHK, PAY, QUOTE</x:v>
      </x:c>
      <x:c r="E163" s="3" t="str">
        <x:v>Supporting source của module</x:v>
      </x:c>
      <x:c r="F163" s="3" t="str">
        <x:v>09cd2c990ff63ef96214b3e0e1775cd6fd0b520afc530567a9540dd972978a21</x:v>
      </x:c>
    </x:row>
    <x:row r="164" ht="36" customHeight="1">
      <x:c r="A164" s="3" t="str">
        <x:v>src/features/checkout/components/checkout-screen.test.tsx</x:v>
      </x:c>
      <x:c r="B164" s="3" t="str">
        <x:v>test</x:v>
      </x:c>
      <x:c r="C164" s="3" t="n">
        <x:v>46</x:v>
      </x:c>
      <x:c r="D164" s="3" t="str">
        <x:v>CART, CHK, PAY, QUOTE</x:v>
      </x:c>
      <x:c r="E164" s="3" t="str">
        <x:v>Supporting source của module</x:v>
      </x:c>
      <x:c r="F164" s="3" t="str">
        <x:v>17ae710ab80f96849ed9cf309959ae40ddc8b51298c9771af2c71b1073a32f87</x:v>
      </x:c>
    </x:row>
    <x:row r="165" ht="40" customHeight="1">
      <x:c r="A165" s="3" t="str">
        <x:v>src/features/checkout/components/checkout-screen.tsx</x:v>
      </x:c>
      <x:c r="B165" s="3" t="str">
        <x:v>source</x:v>
      </x:c>
      <x:c r="C165" s="3" t="n">
        <x:v>141</x:v>
      </x:c>
      <x:c r="D165" s="3" t="str">
        <x:v>CART, CHK, PAY, QUOTE</x:v>
      </x:c>
      <x:c r="E165" s="3" t="str">
        <x:v>CHK-001, CHK-002, CHK-003, CHK-004, CHK-005, CHK-020, CHK-021</x:v>
      </x:c>
      <x:c r="F165" s="3" t="str">
        <x:v>f30431e0e7b21ac159a2f64a17c5f1b2f782020d9ad9a7f98372efd026c133e7</x:v>
      </x:c>
    </x:row>
    <x:row r="166" ht="36" customHeight="1">
      <x:c r="A166" s="3" t="str">
        <x:v>src/features/checkout/components/compact-cart-link.tsx</x:v>
      </x:c>
      <x:c r="B166" s="3" t="str">
        <x:v>source</x:v>
      </x:c>
      <x:c r="C166" s="3" t="n">
        <x:v>30</x:v>
      </x:c>
      <x:c r="D166" s="3" t="str">
        <x:v>CART, CHK, PAY, QUOTE</x:v>
      </x:c>
      <x:c r="E166" s="3" t="str">
        <x:v>Supporting source của module</x:v>
      </x:c>
      <x:c r="F166" s="3" t="str">
        <x:v>85767a3536a89d5805030be071bce4393ad6ef147ebeedc26e96ebb2d5d8f7e1</x:v>
      </x:c>
    </x:row>
    <x:row r="167" ht="36" customHeight="1">
      <x:c r="A167" s="3" t="str">
        <x:v>src/features/checkout/components/country-calling-code-picker.tsx</x:v>
      </x:c>
      <x:c r="B167" s="3" t="str">
        <x:v>source</x:v>
      </x:c>
      <x:c r="C167" s="3" t="n">
        <x:v>23</x:v>
      </x:c>
      <x:c r="D167" s="3" t="str">
        <x:v>CART, CHK, PAY, QUOTE</x:v>
      </x:c>
      <x:c r="E167" s="3" t="str">
        <x:v>Supporting source của module</x:v>
      </x:c>
      <x:c r="F167" s="3" t="str">
        <x:v>a6bdab46c5f8e746a05b93c5d473e878109453eb7294e97cc991e5aada0a0d70</x:v>
      </x:c>
    </x:row>
    <x:row r="168" ht="36" customHeight="1">
      <x:c r="A168" s="3" t="str">
        <x:v>src/features/checkout/components/empty-cart-screen.tsx</x:v>
      </x:c>
      <x:c r="B168" s="3" t="str">
        <x:v>source</x:v>
      </x:c>
      <x:c r="C168" s="3" t="n">
        <x:v>26</x:v>
      </x:c>
      <x:c r="D168" s="3" t="str">
        <x:v>CART, CHK, PAY, QUOTE</x:v>
      </x:c>
      <x:c r="E168" s="3" t="str">
        <x:v>Supporting source của module</x:v>
      </x:c>
      <x:c r="F168" s="3" t="str">
        <x:v>81a347a36525a3affc2ff234bdb18a9d3e0ac329dbc17fea9c5292ea209500eb</x:v>
      </x:c>
    </x:row>
    <x:row r="169" ht="36" customHeight="1">
      <x:c r="A169" s="3" t="str">
        <x:v>src/features/checkout/components/order-summary.tsx</x:v>
      </x:c>
      <x:c r="B169" s="3" t="str">
        <x:v>source</x:v>
      </x:c>
      <x:c r="C169" s="3" t="n">
        <x:v>63</x:v>
      </x:c>
      <x:c r="D169" s="3" t="str">
        <x:v>CART, CHK, PAY, QUOTE</x:v>
      </x:c>
      <x:c r="E169" s="3" t="str">
        <x:v>Supporting source của module</x:v>
      </x:c>
      <x:c r="F169" s="3" t="str">
        <x:v>9bc3b177b97d9971e527f77685f09ac96c5c3fc5519b4037f1d5663cc06209b0</x:v>
      </x:c>
    </x:row>
    <x:row r="170" ht="36" customHeight="1">
      <x:c r="A170" s="3" t="str">
        <x:v>src/features/checkout/components/payment-method-section.tsx</x:v>
      </x:c>
      <x:c r="B170" s="3" t="str">
        <x:v>source</x:v>
      </x:c>
      <x:c r="C170" s="3" t="n">
        <x:v>67</x:v>
      </x:c>
      <x:c r="D170" s="3" t="str">
        <x:v>CART, CHK, PAY, QUOTE</x:v>
      </x:c>
      <x:c r="E170" s="3" t="str">
        <x:v>CHK-020</x:v>
      </x:c>
      <x:c r="F170" s="3" t="str">
        <x:v>6d732772676c226b1d1598e2f21049bb52d67768adacd7a3dfcd6dc283d15b84</x:v>
      </x:c>
    </x:row>
    <x:row r="171" ht="36" customHeight="1">
      <x:c r="A171" s="3" t="str">
        <x:v>src/features/checkout/components/payment-screen.test.tsx</x:v>
      </x:c>
      <x:c r="B171" s="3" t="str">
        <x:v>test</x:v>
      </x:c>
      <x:c r="C171" s="3" t="n">
        <x:v>26</x:v>
      </x:c>
      <x:c r="D171" s="3" t="str">
        <x:v>CART, CHK, PAY, QUOTE</x:v>
      </x:c>
      <x:c r="E171" s="3" t="str">
        <x:v>Supporting source của module</x:v>
      </x:c>
      <x:c r="F171" s="3" t="str">
        <x:v>d89f451a1218deab0edf96299f523317b30c98fb64e8eb688c48f9103bb634bf</x:v>
      </x:c>
    </x:row>
    <x:row r="172" ht="36" customHeight="1">
      <x:c r="A172" s="3" t="str">
        <x:v>src/features/checkout/components/payment-screen.tsx</x:v>
      </x:c>
      <x:c r="B172" s="3" t="str">
        <x:v>source</x:v>
      </x:c>
      <x:c r="C172" s="3" t="n">
        <x:v>123</x:v>
      </x:c>
      <x:c r="D172" s="3" t="str">
        <x:v>CART, CHK, PAY, QUOTE</x:v>
      </x:c>
      <x:c r="E172" s="3" t="str">
        <x:v>PAY-010, PAY-011, PAY-012, PAY-013, PAY-017</x:v>
      </x:c>
      <x:c r="F172" s="3" t="str">
        <x:v>81403238affc4526e97a7cbcbf63bd3b17f393cffdab8948f3f64d30cf2ddd78</x:v>
      </x:c>
    </x:row>
    <x:row r="173" ht="36" customHeight="1">
      <x:c r="A173" s="3" t="str">
        <x:v>src/features/checkout/components/payment-success-screen.tsx</x:v>
      </x:c>
      <x:c r="B173" s="3" t="str">
        <x:v>source</x:v>
      </x:c>
      <x:c r="C173" s="3" t="n">
        <x:v>59</x:v>
      </x:c>
      <x:c r="D173" s="3" t="str">
        <x:v>CART, CHK, PAY, QUOTE</x:v>
      </x:c>
      <x:c r="E173" s="3" t="str">
        <x:v>PAY-015, PAY-016</x:v>
      </x:c>
      <x:c r="F173" s="3" t="str">
        <x:v>15305d7ce53e59ca237c6beb12858f8925774559cf5a721b55e2c50476aaad18</x:v>
      </x:c>
    </x:row>
    <x:row r="174" ht="36" customHeight="1">
      <x:c r="A174" s="3" t="str">
        <x:v>src/features/checkout/components/quote-contact-form.tsx</x:v>
      </x:c>
      <x:c r="B174" s="3" t="str">
        <x:v>source</x:v>
      </x:c>
      <x:c r="C174" s="3" t="n">
        <x:v>164</x:v>
      </x:c>
      <x:c r="D174" s="3" t="str">
        <x:v>CART, CHK, PAY, QUOTE</x:v>
      </x:c>
      <x:c r="E174" s="3" t="str">
        <x:v>QUOTE-003, QUOTE-004</x:v>
      </x:c>
      <x:c r="F174" s="3" t="str">
        <x:v>d0a837c86e32513e94f69821a0b37db8928b23df52330b2656ed977d5b746e27</x:v>
      </x:c>
    </x:row>
    <x:row r="175" ht="36" customHeight="1">
      <x:c r="A175" s="3" t="str">
        <x:v>src/features/checkout/components/quote-success-screen.tsx</x:v>
      </x:c>
      <x:c r="B175" s="3" t="str">
        <x:v>source</x:v>
      </x:c>
      <x:c r="C175" s="3" t="n">
        <x:v>39</x:v>
      </x:c>
      <x:c r="D175" s="3" t="str">
        <x:v>CART, CHK, PAY, QUOTE</x:v>
      </x:c>
      <x:c r="E175" s="3" t="str">
        <x:v>QUOTE-009</x:v>
      </x:c>
      <x:c r="F175" s="3" t="str">
        <x:v>b3621f82b34a5c579099a82dd75bf8d6ae9657b98d5946ad23928af56094bc1d</x:v>
      </x:c>
    </x:row>
    <x:row r="176" ht="36" customHeight="1">
      <x:c r="A176" s="3" t="str">
        <x:v>src/features/checkout/components/request-quote-screen.test.tsx</x:v>
      </x:c>
      <x:c r="B176" s="3" t="str">
        <x:v>test</x:v>
      </x:c>
      <x:c r="C176" s="3" t="n">
        <x:v>44</x:v>
      </x:c>
      <x:c r="D176" s="3" t="str">
        <x:v>CART, CHK, PAY, QUOTE</x:v>
      </x:c>
      <x:c r="E176" s="3" t="str">
        <x:v>Supporting source của module</x:v>
      </x:c>
      <x:c r="F176" s="3" t="str">
        <x:v>1d9a17efd0f23d46ff3f46af216101be32ec05938ad71f35f31bb6a8b94440fc</x:v>
      </x:c>
    </x:row>
    <x:row r="177" ht="36" customHeight="1">
      <x:c r="A177" s="3" t="str">
        <x:v>src/features/checkout/components/request-quote-screen.tsx</x:v>
      </x:c>
      <x:c r="B177" s="3" t="str">
        <x:v>source</x:v>
      </x:c>
      <x:c r="C177" s="3" t="n">
        <x:v>98</x:v>
      </x:c>
      <x:c r="D177" s="3" t="str">
        <x:v>CART, CHK, PAY, QUOTE</x:v>
      </x:c>
      <x:c r="E177" s="3" t="str">
        <x:v>QUOTE-001, QUOTE-002, QUOTE-006, QUOTE-007</x:v>
      </x:c>
      <x:c r="F177" s="3" t="str">
        <x:v>8d83ac9f9452823604a2568c4b333ebe898d5299de82cc2b9c394db17bc33055</x:v>
      </x:c>
    </x:row>
    <x:row r="178" ht="36" customHeight="1">
      <x:c r="A178" s="3" t="str">
        <x:v>src/features/checkout/data/checkout-data.ts</x:v>
      </x:c>
      <x:c r="B178" s="3" t="str">
        <x:v>source</x:v>
      </x:c>
      <x:c r="C178" s="3" t="n">
        <x:v>42</x:v>
      </x:c>
      <x:c r="D178" s="3" t="str">
        <x:v>CART, CHK, PAY, QUOTE</x:v>
      </x:c>
      <x:c r="E178" s="3" t="str">
        <x:v>CART-018, CART-019, CART-020</x:v>
      </x:c>
      <x:c r="F178" s="3" t="str">
        <x:v>d934df8712425bd182b5a6f936591f84467dea49059f9bb6d9759b99dc7b5064</x:v>
      </x:c>
    </x:row>
    <x:row r="179" ht="36" customHeight="1">
      <x:c r="A179" s="3" t="str">
        <x:v>src/features/checkout/index.ts</x:v>
      </x:c>
      <x:c r="B179" s="3" t="str">
        <x:v>source</x:v>
      </x:c>
      <x:c r="C179" s="3" t="n">
        <x:v>12</x:v>
      </x:c>
      <x:c r="D179" s="3" t="str">
        <x:v>CART, CHK, PAY, QUOTE</x:v>
      </x:c>
      <x:c r="E179" s="3" t="str">
        <x:v>Supporting source của module</x:v>
      </x:c>
      <x:c r="F179" s="3" t="str">
        <x:v>1a1cdad1f63002ba0b2409854a8a939ee77145dd39a6d3ffc22f54688f2100d0</x:v>
      </x:c>
    </x:row>
    <x:row r="180" ht="36" customHeight="1">
      <x:c r="A180" s="3" t="str">
        <x:v>src/features/checkout/schemas/cart.schema.test.ts</x:v>
      </x:c>
      <x:c r="B180" s="3" t="str">
        <x:v>test</x:v>
      </x:c>
      <x:c r="C180" s="3" t="n">
        <x:v>71</x:v>
      </x:c>
      <x:c r="D180" s="3" t="str">
        <x:v>CART, CHK, PAY, QUOTE</x:v>
      </x:c>
      <x:c r="E180" s="3" t="str">
        <x:v>Supporting source của module</x:v>
      </x:c>
      <x:c r="F180" s="3" t="str">
        <x:v>48b246bd67081ff56a33af2be6e7bd2910518c51e452faa775bf2bdde5e7468c</x:v>
      </x:c>
    </x:row>
    <x:row r="181" ht="40" customHeight="1">
      <x:c r="A181" s="3" t="str">
        <x:v>src/features/checkout/schemas/cart.schema.ts</x:v>
      </x:c>
      <x:c r="B181" s="3" t="str">
        <x:v>source</x:v>
      </x:c>
      <x:c r="C181" s="3" t="n">
        <x:v>82</x:v>
      </x:c>
      <x:c r="D181" s="3" t="str">
        <x:v>CART, CHK, PAY, QUOTE</x:v>
      </x:c>
      <x:c r="E181" s="3" t="str">
        <x:v>CART-001, CART-002, CART-003, CART-007, CART-008, CART-009, CART-010, CART-011, CART-021, CART-025</x:v>
      </x:c>
      <x:c r="F181" s="3" t="str">
        <x:v>8936f1de13a26bd92ba3cca5d89ae2144f510fecdcd0746f4250de18bf6b9201</x:v>
      </x:c>
    </x:row>
    <x:row r="182" ht="36" customHeight="1">
      <x:c r="A182" s="3" t="str">
        <x:v>src/features/checkout/schemas/checkout.schema.test.ts</x:v>
      </x:c>
      <x:c r="B182" s="3" t="str">
        <x:v>test</x:v>
      </x:c>
      <x:c r="C182" s="3" t="n">
        <x:v>29</x:v>
      </x:c>
      <x:c r="D182" s="3" t="str">
        <x:v>CART, CHK, PAY, QUOTE</x:v>
      </x:c>
      <x:c r="E182" s="3" t="str">
        <x:v>Supporting source của module</x:v>
      </x:c>
      <x:c r="F182" s="3" t="str">
        <x:v>5ebfe595b9fa54a6d0610f8e172aa311f59b66dd06079764ac5ad1884a9833e2</x:v>
      </x:c>
    </x:row>
    <x:row r="183" ht="40" customHeight="1">
      <x:c r="A183" s="3" t="str">
        <x:v>src/features/checkout/schemas/checkout.schema.ts</x:v>
      </x:c>
      <x:c r="B183" s="3" t="str">
        <x:v>source</x:v>
      </x:c>
      <x:c r="C183" s="3" t="n">
        <x:v>50</x:v>
      </x:c>
      <x:c r="D183" s="3" t="str">
        <x:v>CART, CHK, PAY, QUOTE</x:v>
      </x:c>
      <x:c r="E183" s="3" t="str">
        <x:v>CHK-006, CHK-007, CHK-008, CHK-009, CHK-010, CHK-011, CHK-012, CHK-013, CHK-014, CHK-015, CHK-018, CHK-019</x:v>
      </x:c>
      <x:c r="F183" s="3" t="str">
        <x:v>e760a55d429c401c40abd766ee4292432611b09d57569306993b921caf8bcea9</x:v>
      </x:c>
    </x:row>
    <x:row r="184" ht="36" customHeight="1">
      <x:c r="A184" s="3" t="str">
        <x:v>src/features/checkout/schemas/quote.schema.ts</x:v>
      </x:c>
      <x:c r="B184" s="3" t="str">
        <x:v>source</x:v>
      </x:c>
      <x:c r="C184" s="3" t="n">
        <x:v>25</x:v>
      </x:c>
      <x:c r="D184" s="3" t="str">
        <x:v>CART, CHK, PAY, QUOTE</x:v>
      </x:c>
      <x:c r="E184" s="3" t="str">
        <x:v>QUOTE-003, QUOTE-004, QUOTE-005</x:v>
      </x:c>
      <x:c r="F184" s="3" t="str">
        <x:v>2b74828ac2fb47ff3d81e223cc56fe37def2b3aa2f41a23e5f16d0aad3200973</x:v>
      </x:c>
    </x:row>
    <x:row r="185" ht="36" customHeight="1">
      <x:c r="A185" s="3" t="str">
        <x:v>src/features/checkout/utils/get-cart-item-option.ts</x:v>
      </x:c>
      <x:c r="B185" s="3" t="str">
        <x:v>source</x:v>
      </x:c>
      <x:c r="C185" s="3" t="n">
        <x:v>10</x:v>
      </x:c>
      <x:c r="D185" s="3" t="str">
        <x:v>CART, CHK, PAY, QUOTE</x:v>
      </x:c>
      <x:c r="E185" s="3" t="str">
        <x:v>Supporting source của module</x:v>
      </x:c>
      <x:c r="F185" s="3" t="str">
        <x:v>3a08b661ba56bfb42f7d77aa4667dcbfdab94d8813781c192e95485e214dee33</x:v>
      </x:c>
    </x:row>
    <x:row r="186" ht="36" customHeight="1">
      <x:c r="A186" s="3" t="str">
        <x:v>src/features/contact/api/contact.service.ts</x:v>
      </x:c>
      <x:c r="B186" s="3" t="str">
        <x:v>source</x:v>
      </x:c>
      <x:c r="C186" s="3" t="n">
        <x:v>19</x:v>
      </x:c>
      <x:c r="D186" s="3" t="str">
        <x:v>CON</x:v>
      </x:c>
      <x:c r="E186" s="3" t="str">
        <x:v>CON-003, CON-004, CON-021</x:v>
      </x:c>
      <x:c r="F186" s="3" t="str">
        <x:v>2117bc5c834edacbfea6fa4102be1d76cc5e571b0f209a60cb65796bce7a4c70</x:v>
      </x:c>
    </x:row>
    <x:row r="187" ht="36" customHeight="1">
      <x:c r="A187" s="3" t="str">
        <x:v>src/features/contact/api/use-submit-contact-mutation.ts</x:v>
      </x:c>
      <x:c r="B187" s="3" t="str">
        <x:v>source</x:v>
      </x:c>
      <x:c r="C187" s="3" t="n">
        <x:v>7</x:v>
      </x:c>
      <x:c r="D187" s="3" t="str">
        <x:v>CON</x:v>
      </x:c>
      <x:c r="E187" s="3" t="str">
        <x:v>Supporting source của module</x:v>
      </x:c>
      <x:c r="F187" s="3" t="str">
        <x:v>efec0ff13cf7f172777ddaef4294531b59da6752057c34bc47fb7778616543af</x:v>
      </x:c>
    </x:row>
    <x:row r="188" ht="36" customHeight="1">
      <x:c r="A188" s="3" t="str">
        <x:v>src/features/contact/components/contact-form.test.tsx</x:v>
      </x:c>
      <x:c r="B188" s="3" t="str">
        <x:v>test</x:v>
      </x:c>
      <x:c r="C188" s="3" t="n">
        <x:v>50</x:v>
      </x:c>
      <x:c r="D188" s="3" t="str">
        <x:v>CON</x:v>
      </x:c>
      <x:c r="E188" s="3" t="str">
        <x:v>Supporting source của module</x:v>
      </x:c>
      <x:c r="F188" s="3" t="str">
        <x:v>60a964e0be91556c10ba79c538f659002b9485b4cff9f43db88ccb3a2586b8c9</x:v>
      </x:c>
    </x:row>
    <x:row r="189" ht="36" customHeight="1">
      <x:c r="A189" s="3" t="str">
        <x:v>src/features/contact/components/contact-form.tsx</x:v>
      </x:c>
      <x:c r="B189" s="3" t="str">
        <x:v>source</x:v>
      </x:c>
      <x:c r="C189" s="3" t="n">
        <x:v>161</x:v>
      </x:c>
      <x:c r="D189" s="3" t="str">
        <x:v>CON</x:v>
      </x:c>
      <x:c r="E189" s="3" t="str">
        <x:v>CON-001, CON-002, CON-003, CON-004, CON-019, CON-022</x:v>
      </x:c>
      <x:c r="F189" s="3" t="str">
        <x:v>79e11b44486dbf3f6b956a22f70a1a0fe3f2b346f75c6b709b620700b329cccd</x:v>
      </x:c>
    </x:row>
    <x:row r="190" ht="36" customHeight="1">
      <x:c r="A190" s="3" t="str">
        <x:v>src/features/contact/components/contact-hero.tsx</x:v>
      </x:c>
      <x:c r="B190" s="3" t="str">
        <x:v>source</x:v>
      </x:c>
      <x:c r="C190" s="3" t="n">
        <x:v>25</x:v>
      </x:c>
      <x:c r="D190" s="3" t="str">
        <x:v>CON</x:v>
      </x:c>
      <x:c r="E190" s="3" t="str">
        <x:v>Supporting source của module</x:v>
      </x:c>
      <x:c r="F190" s="3" t="str">
        <x:v>ce5c0bcc8101f53cc036b3ac474b8ca2af31d0d0b2ebc231496487fd2d4718b2</x:v>
      </x:c>
    </x:row>
    <x:row r="191" ht="36" customHeight="1">
      <x:c r="A191" s="3" t="str">
        <x:v>src/features/contact/components/contact-info-fields.tsx</x:v>
      </x:c>
      <x:c r="B191" s="3" t="str">
        <x:v>source</x:v>
      </x:c>
      <x:c r="C191" s="3" t="n">
        <x:v>120</x:v>
      </x:c>
      <x:c r="D191" s="3" t="str">
        <x:v>CON</x:v>
      </x:c>
      <x:c r="E191" s="3" t="str">
        <x:v>CON-013</x:v>
      </x:c>
      <x:c r="F191" s="3" t="str">
        <x:v>b7f25ef0459db0d7313dfdaddd3901842417094885764726bc665f0e09548acb</x:v>
      </x:c>
    </x:row>
    <x:row r="192" ht="36" customHeight="1">
      <x:c r="A192" s="3" t="str">
        <x:v>src/features/contact/components/contact-screen.tsx</x:v>
      </x:c>
      <x:c r="B192" s="3" t="str">
        <x:v>source</x:v>
      </x:c>
      <x:c r="C192" s="3" t="n">
        <x:v>12</x:v>
      </x:c>
      <x:c r="D192" s="3" t="str">
        <x:v>CON</x:v>
      </x:c>
      <x:c r="E192" s="3" t="str">
        <x:v>Supporting source của module</x:v>
      </x:c>
      <x:c r="F192" s="3" t="str">
        <x:v>d70a635e8eb47c69bdd15348ae4bf594d55a34b323563b2ce07b0bddfe40e8b4</x:v>
      </x:c>
    </x:row>
    <x:row r="193" ht="36" customHeight="1">
      <x:c r="A193" s="3" t="str">
        <x:v>src/features/contact/components/quote-products-table.tsx</x:v>
      </x:c>
      <x:c r="B193" s="3" t="str">
        <x:v>source</x:v>
      </x:c>
      <x:c r="C193" s="3" t="n">
        <x:v>191</x:v>
      </x:c>
      <x:c r="D193" s="3" t="str">
        <x:v>CON</x:v>
      </x:c>
      <x:c r="E193" s="3" t="str">
        <x:v>CON-014, CON-015, CON-016, CON-017, CON-018</x:v>
      </x:c>
      <x:c r="F193" s="3" t="str">
        <x:v>998c687181992db25a05cf9ec6e4d9175d530e82658619964743d84caa5c53b7</x:v>
      </x:c>
    </x:row>
    <x:row r="194" ht="36" customHeight="1">
      <x:c r="A194" s="3" t="str">
        <x:v>src/features/contact/index.ts</x:v>
      </x:c>
      <x:c r="B194" s="3" t="str">
        <x:v>source</x:v>
      </x:c>
      <x:c r="C194" s="3" t="n">
        <x:v>2</x:v>
      </x:c>
      <x:c r="D194" s="3" t="str">
        <x:v>CON</x:v>
      </x:c>
      <x:c r="E194" s="3" t="str">
        <x:v>Supporting source của module</x:v>
      </x:c>
      <x:c r="F194" s="3" t="str">
        <x:v>d6867ccd02df15957a78e0d4c26a4e70caed45e45dc484c208c00f444fff0d33</x:v>
      </x:c>
    </x:row>
    <x:row r="195" ht="55.5" customHeight="1">
      <x:c r="A195" s="3" t="str">
        <x:v>src/features/contact/schemas/contact.schema.ts</x:v>
      </x:c>
      <x:c r="B195" s="3" t="str">
        <x:v>source</x:v>
      </x:c>
      <x:c r="C195" s="3" t="n">
        <x:v>63</x:v>
      </x:c>
      <x:c r="D195" s="3" t="str">
        <x:v>CON</x:v>
      </x:c>
      <x:c r="E195" s="3" t="str">
        <x:v>CON-005, CON-006, CON-007, CON-008, CON-009, CON-010, CON-011, CON-012, CON-013, CON-014, CON-015, CON-016, CON-017, CON-018, CON-022</x:v>
      </x:c>
      <x:c r="F195" s="3" t="str">
        <x:v>051dc2a22a2df57ddc7cec70763e1627a4d476a2417dca8ad56c58b5e0dd9ea4</x:v>
      </x:c>
    </x:row>
    <x:row r="196" ht="36" customHeight="1">
      <x:c r="A196" s="3" t="str">
        <x:v>src/features/home/components/categories-section.test.tsx</x:v>
      </x:c>
      <x:c r="B196" s="3" t="str">
        <x:v>test</x:v>
      </x:c>
      <x:c r="C196" s="3" t="n">
        <x:v>19</x:v>
      </x:c>
      <x:c r="D196" s="3" t="str">
        <x:v>HOME</x:v>
      </x:c>
      <x:c r="E196" s="3" t="str">
        <x:v>Supporting source của module</x:v>
      </x:c>
      <x:c r="F196" s="3" t="str">
        <x:v>fb5c3f63f5e97a26908988a1dce0f8b936a893788287aaeb63da6b8f1ff00a78</x:v>
      </x:c>
    </x:row>
    <x:row r="197" ht="36" customHeight="1">
      <x:c r="A197" s="3" t="str">
        <x:v>src/features/home/components/categories-section.tsx</x:v>
      </x:c>
      <x:c r="B197" s="3" t="str">
        <x:v>source</x:v>
      </x:c>
      <x:c r="C197" s="3" t="n">
        <x:v>183</x:v>
      </x:c>
      <x:c r="D197" s="3" t="str">
        <x:v>HOME</x:v>
      </x:c>
      <x:c r="E197" s="3" t="str">
        <x:v>Supporting source của module</x:v>
      </x:c>
      <x:c r="F197" s="3" t="str">
        <x:v>a258c363cb24071bc81cca2591b020f8ce7edcd6e572929cdb42444dc86c7709</x:v>
      </x:c>
    </x:row>
    <x:row r="198" ht="36" customHeight="1">
      <x:c r="A198" s="3" t="str">
        <x:v>src/features/home/components/cta-section.tsx</x:v>
      </x:c>
      <x:c r="B198" s="3" t="str">
        <x:v>source</x:v>
      </x:c>
      <x:c r="C198" s="3" t="n">
        <x:v>84</x:v>
      </x:c>
      <x:c r="D198" s="3" t="str">
        <x:v>HOME</x:v>
      </x:c>
      <x:c r="E198" s="3" t="str">
        <x:v>Supporting source của module</x:v>
      </x:c>
      <x:c r="F198" s="3" t="str">
        <x:v>5fc8f8edeae29f21ebc940747265c4d52870270c2293e3cc7d957fd2be52d969</x:v>
      </x:c>
    </x:row>
    <x:row r="199" ht="36" customHeight="1">
      <x:c r="A199" s="3" t="str">
        <x:v>src/features/home/components/editorial-section.tsx</x:v>
      </x:c>
      <x:c r="B199" s="3" t="str">
        <x:v>source</x:v>
      </x:c>
      <x:c r="C199" s="3" t="n">
        <x:v>149</x:v>
      </x:c>
      <x:c r="D199" s="3" t="str">
        <x:v>HOME</x:v>
      </x:c>
      <x:c r="E199" s="3" t="str">
        <x:v>Supporting source của module</x:v>
      </x:c>
      <x:c r="F199" s="3" t="str">
        <x:v>dcdda5afb97feb909a91a3c2c18ed2d0f8733a1c3e237f3a672a44631167583b</x:v>
      </x:c>
    </x:row>
    <x:row r="200" ht="36" customHeight="1">
      <x:c r="A200" s="3" t="str">
        <x:v>src/features/home/components/hero-section.test.tsx</x:v>
      </x:c>
      <x:c r="B200" s="3" t="str">
        <x:v>test</x:v>
      </x:c>
      <x:c r="C200" s="3" t="n">
        <x:v>61</x:v>
      </x:c>
      <x:c r="D200" s="3" t="str">
        <x:v>HOME</x:v>
      </x:c>
      <x:c r="E200" s="3" t="str">
        <x:v>Supporting source của module</x:v>
      </x:c>
      <x:c r="F200" s="3" t="str">
        <x:v>8ffe6aff1b211f2674a3e28f139f47fc0ca2c9427af1c2925f415651406dd594</x:v>
      </x:c>
    </x:row>
    <x:row r="201" ht="36" customHeight="1">
      <x:c r="A201" s="3" t="str">
        <x:v>src/features/home/components/hero-section.tsx</x:v>
      </x:c>
      <x:c r="B201" s="3" t="str">
        <x:v>source</x:v>
      </x:c>
      <x:c r="C201" s="3" t="n">
        <x:v>252</x:v>
      </x:c>
      <x:c r="D201" s="3" t="str">
        <x:v>HOME</x:v>
      </x:c>
      <x:c r="E201" s="3" t="str">
        <x:v>HOME-003, HOME-004, HOME-005, HOME-010, HOME-015</x:v>
      </x:c>
      <x:c r="F201" s="3" t="str">
        <x:v>d9bb0b93e7934219feb09f92ff9b4860d8031b2a7e8912f1874c505a7e563076</x:v>
      </x:c>
    </x:row>
    <x:row r="202" ht="36" customHeight="1">
      <x:c r="A202" s="3" t="str">
        <x:v>src/features/home/components/home-screen.tsx</x:v>
      </x:c>
      <x:c r="B202" s="3" t="str">
        <x:v>source</x:v>
      </x:c>
      <x:c r="C202" s="3" t="n">
        <x:v>52</x:v>
      </x:c>
      <x:c r="D202" s="3" t="str">
        <x:v>HOME</x:v>
      </x:c>
      <x:c r="E202" s="3" t="str">
        <x:v>Supporting source của module</x:v>
      </x:c>
      <x:c r="F202" s="3" t="str">
        <x:v>681fb4f0b00888a0ac2b23a1523b9d14f3fea05081093b4b91c9cb1efbd9ba8e</x:v>
      </x:c>
    </x:row>
    <x:row r="203" ht="36" customHeight="1">
      <x:c r="A203" s="3" t="str">
        <x:v>src/features/home/components/product-sections.tsx</x:v>
      </x:c>
      <x:c r="B203" s="3" t="str">
        <x:v>source</x:v>
      </x:c>
      <x:c r="C203" s="3" t="n">
        <x:v>203</x:v>
      </x:c>
      <x:c r="D203" s="3" t="str">
        <x:v>HOME</x:v>
      </x:c>
      <x:c r="E203" s="3" t="str">
        <x:v>Supporting source của module</x:v>
      </x:c>
      <x:c r="F203" s="3" t="str">
        <x:v>183c24b5ac1c53045a947e3bc48a2874ca452d8dfb5b23187ce536bd927f87dd</x:v>
      </x:c>
    </x:row>
    <x:row r="204" ht="36" customHeight="1">
      <x:c r="A204" s="3" t="str">
        <x:v>src/features/home/components/research-leaders-carousel.tsx</x:v>
      </x:c>
      <x:c r="B204" s="3" t="str">
        <x:v>source</x:v>
      </x:c>
      <x:c r="C204" s="3" t="n">
        <x:v>79</x:v>
      </x:c>
      <x:c r="D204" s="3" t="str">
        <x:v>HOME</x:v>
      </x:c>
      <x:c r="E204" s="3" t="str">
        <x:v>HOME-011, HOME-012, HOME-013</x:v>
      </x:c>
      <x:c r="F204" s="3" t="str">
        <x:v>724db7716adb21d63c284ac4a65432770552a0644c3067e38b6ce56c95a0b8ee</x:v>
      </x:c>
    </x:row>
    <x:row r="205" ht="36" customHeight="1">
      <x:c r="A205" s="3" t="str">
        <x:v>src/features/home/components/social-proof-section.test.tsx</x:v>
      </x:c>
      <x:c r="B205" s="3" t="str">
        <x:v>test</x:v>
      </x:c>
      <x:c r="C205" s="3" t="n">
        <x:v>61</x:v>
      </x:c>
      <x:c r="D205" s="3" t="str">
        <x:v>HOME</x:v>
      </x:c>
      <x:c r="E205" s="3" t="str">
        <x:v>Supporting source của module</x:v>
      </x:c>
      <x:c r="F205" s="3" t="str">
        <x:v>e85b6fc6628edd0cdbab2fb8de3d3407f10cab31fa78baa5ae84ec8b7595fea8</x:v>
      </x:c>
    </x:row>
    <x:row r="206" ht="36" customHeight="1">
      <x:c r="A206" s="3" t="str">
        <x:v>src/features/home/components/social-proof-section.tsx</x:v>
      </x:c>
      <x:c r="B206" s="3" t="str">
        <x:v>source</x:v>
      </x:c>
      <x:c r="C206" s="3" t="n">
        <x:v>41</x:v>
      </x:c>
      <x:c r="D206" s="3" t="str">
        <x:v>HOME</x:v>
      </x:c>
      <x:c r="E206" s="3" t="str">
        <x:v>HOME-009, HOME-011, HOME-013</x:v>
      </x:c>
      <x:c r="F206" s="3" t="str">
        <x:v>8b6b4cd025df1e786ed9a692df97483a82c7f03c0bfebad75d19cc6411574d77</x:v>
      </x:c>
    </x:row>
    <x:row r="207" ht="36" customHeight="1">
      <x:c r="A207" s="3" t="str">
        <x:v>src/features/home/components/testimonial-carousel.test.tsx</x:v>
      </x:c>
      <x:c r="B207" s="3" t="str">
        <x:v>test</x:v>
      </x:c>
      <x:c r="C207" s="3" t="n">
        <x:v>36</x:v>
      </x:c>
      <x:c r="D207" s="3" t="str">
        <x:v>HOME</x:v>
      </x:c>
      <x:c r="E207" s="3" t="str">
        <x:v>Supporting source của module</x:v>
      </x:c>
      <x:c r="F207" s="3" t="str">
        <x:v>abba27747313037818fe7b6618b835baa9261784f2d7534d819fbbb44aab4019</x:v>
      </x:c>
    </x:row>
    <x:row r="208" ht="36" customHeight="1">
      <x:c r="A208" s="3" t="str">
        <x:v>src/features/home/components/testimonial-carousel.tsx</x:v>
      </x:c>
      <x:c r="B208" s="3" t="str">
        <x:v>source</x:v>
      </x:c>
      <x:c r="C208" s="3" t="n">
        <x:v>128</x:v>
      </x:c>
      <x:c r="D208" s="3" t="str">
        <x:v>HOME</x:v>
      </x:c>
      <x:c r="E208" s="3" t="str">
        <x:v>HOME-014</x:v>
      </x:c>
      <x:c r="F208" s="3" t="str">
        <x:v>f05016ab8d1c77a1340fbf1ef5553a87648228d66768227b278aa56f46e705fe</x:v>
      </x:c>
    </x:row>
    <x:row r="209" ht="36" customHeight="1">
      <x:c r="A209" s="3" t="str">
        <x:v>src/features/home/home.types.ts</x:v>
      </x:c>
      <x:c r="B209" s="3" t="str">
        <x:v>source</x:v>
      </x:c>
      <x:c r="C209" s="3" t="n">
        <x:v>30</x:v>
      </x:c>
      <x:c r="D209" s="3" t="str">
        <x:v>HOME</x:v>
      </x:c>
      <x:c r="E209" s="3" t="str">
        <x:v>Supporting source của module</x:v>
      </x:c>
      <x:c r="F209" s="3" t="str">
        <x:v>618eb853a72bc23e6cce679dbca3534ae5dd90c36a0a9d5be2cda837b41da480</x:v>
      </x:c>
    </x:row>
    <x:row r="210" ht="36" customHeight="1">
      <x:c r="A210" s="3" t="str">
        <x:v>src/features/home/index.ts</x:v>
      </x:c>
      <x:c r="B210" s="3" t="str">
        <x:v>source</x:v>
      </x:c>
      <x:c r="C210" s="3" t="n">
        <x:v>1</x:v>
      </x:c>
      <x:c r="D210" s="3" t="str">
        <x:v>HOME</x:v>
      </x:c>
      <x:c r="E210" s="3" t="str">
        <x:v>Supporting source của module</x:v>
      </x:c>
      <x:c r="F210" s="3" t="str">
        <x:v>516b58b534b761e6a5cba2c18cb9e13ec3f13d2df04a73d2f9d40cda53441fb2</x:v>
      </x:c>
    </x:row>
    <x:row r="211" ht="36" customHeight="1">
      <x:c r="A211" s="3" t="str">
        <x:v>src/features/home/research-leaders.ts</x:v>
      </x:c>
      <x:c r="B211" s="3" t="str">
        <x:v>source</x:v>
      </x:c>
      <x:c r="C211" s="3" t="n">
        <x:v>75</x:v>
      </x:c>
      <x:c r="D211" s="3" t="str">
        <x:v>HOME</x:v>
      </x:c>
      <x:c r="E211" s="3" t="str">
        <x:v>Supporting source của module</x:v>
      </x:c>
      <x:c r="F211" s="3" t="str">
        <x:v>ddd388391925a8b4f27a36cd7004a620de9ee3d8d1347e4ae12f0aff360d1c9e</x:v>
      </x:c>
    </x:row>
    <x:row r="212" ht="40" customHeight="1">
      <x:c r="A212" s="3" t="str">
        <x:v>src/features/home/schemas/homepage.schema.ts</x:v>
      </x:c>
      <x:c r="B212" s="3" t="str">
        <x:v>source</x:v>
      </x:c>
      <x:c r="C212" s="3" t="n">
        <x:v>72</x:v>
      </x:c>
      <x:c r="D212" s="3" t="str">
        <x:v>HOME</x:v>
      </x:c>
      <x:c r="E212" s="3" t="str">
        <x:v>HOME-001, HOME-002, HOME-003, HOME-004, HOME-005, HOME-006, HOME-007, HOME-015</x:v>
      </x:c>
      <x:c r="F212" s="3" t="str">
        <x:v>c2d28127ddf360a04804c8ca4433c6ee0a2438fb6a7220aba02d86973aebf31d</x:v>
      </x:c>
    </x:row>
    <x:row r="213" ht="36" customHeight="1">
      <x:c r="A213" s="3" t="str">
        <x:v>src/features/home/server.test.ts</x:v>
      </x:c>
      <x:c r="B213" s="3" t="str">
        <x:v>test</x:v>
      </x:c>
      <x:c r="C213" s="3" t="n">
        <x:v>186</x:v>
      </x:c>
      <x:c r="D213" s="3" t="str">
        <x:v>HOME</x:v>
      </x:c>
      <x:c r="E213" s="3" t="str">
        <x:v>Supporting source của module</x:v>
      </x:c>
      <x:c r="F213" s="3" t="str">
        <x:v>550aa2d46b4e4faea3cbf37948a7bb95603c640eb39614010caa8db579fe527d</x:v>
      </x:c>
    </x:row>
    <x:row r="214" ht="40" customHeight="1">
      <x:c r="A214" s="3" t="str">
        <x:v>src/features/home/server.ts</x:v>
      </x:c>
      <x:c r="B214" s="3" t="str">
        <x:v>source</x:v>
      </x:c>
      <x:c r="C214" s="3" t="n">
        <x:v>91</x:v>
      </x:c>
      <x:c r="D214" s="3" t="str">
        <x:v>HOME</x:v>
      </x:c>
      <x:c r="E214" s="3" t="str">
        <x:v>HOME-001, HOME-002, HOME-006, HOME-007, HOME-008, HOME-009, HOME-010, HOME-015</x:v>
      </x:c>
      <x:c r="F214" s="3" t="str">
        <x:v>2715c2d78efe916734eeb03d27f0a84be7c2d266595045691d9432bb7b6d68e0</x:v>
      </x:c>
    </x:row>
    <x:row r="215" ht="36" customHeight="1">
      <x:c r="A215" s="3" t="str">
        <x:v>src/features/legal/components/legal-document-screen.test.tsx</x:v>
      </x:c>
      <x:c r="B215" s="3" t="str">
        <x:v>test</x:v>
      </x:c>
      <x:c r="C215" s="3" t="n">
        <x:v>24</x:v>
      </x:c>
      <x:c r="D215" s="3" t="str">
        <x:v>CMS</x:v>
      </x:c>
      <x:c r="E215" s="3" t="str">
        <x:v>Supporting source của module</x:v>
      </x:c>
      <x:c r="F215" s="3" t="str">
        <x:v>9f331543356939efcc316b70e4d1ff9bdf1ab0ad2293d9551c76e55f0a48eb95</x:v>
      </x:c>
    </x:row>
    <x:row r="216" ht="36" customHeight="1">
      <x:c r="A216" s="3" t="str">
        <x:v>src/features/legal/components/legal-document-screen.tsx</x:v>
      </x:c>
      <x:c r="B216" s="3" t="str">
        <x:v>source</x:v>
      </x:c>
      <x:c r="C216" s="3" t="n">
        <x:v>16</x:v>
      </x:c>
      <x:c r="D216" s="3" t="str">
        <x:v>CMS</x:v>
      </x:c>
      <x:c r="E216" s="3" t="str">
        <x:v>CMS-010, CMS-011, CMS-012</x:v>
      </x:c>
      <x:c r="F216" s="3" t="str">
        <x:v>ddf08b45cfb92cbcd919ad5985b8f769c9e12c49cd3dd0716ee28b9fbde857ab</x:v>
      </x:c>
    </x:row>
    <x:row r="217" ht="36" customHeight="1">
      <x:c r="A217" s="3" t="str">
        <x:v>src/features/legal/components/legal-document-section.tsx</x:v>
      </x:c>
      <x:c r="B217" s="3" t="str">
        <x:v>source</x:v>
      </x:c>
      <x:c r="C217" s="3" t="n">
        <x:v>34</x:v>
      </x:c>
      <x:c r="D217" s="3" t="str">
        <x:v>CMS</x:v>
      </x:c>
      <x:c r="E217" s="3" t="str">
        <x:v>Supporting source của module</x:v>
      </x:c>
      <x:c r="F217" s="3" t="str">
        <x:v>1cf5dcc10df7470cc37f19854cde5c10cb5b86353eeae696d88f2d28812ca352</x:v>
      </x:c>
    </x:row>
    <x:row r="218" ht="36" customHeight="1">
      <x:c r="A218" s="3" t="str">
        <x:v>src/features/legal/components/legal-hero.tsx</x:v>
      </x:c>
      <x:c r="B218" s="3" t="str">
        <x:v>source</x:v>
      </x:c>
      <x:c r="C218" s="3" t="n">
        <x:v>26</x:v>
      </x:c>
      <x:c r="D218" s="3" t="str">
        <x:v>CMS</x:v>
      </x:c>
      <x:c r="E218" s="3" t="str">
        <x:v>Supporting source của module</x:v>
      </x:c>
      <x:c r="F218" s="3" t="str">
        <x:v>f2935ed602d0968f703096ae74f4db6346a54db37c5895b4c2417010503e7325</x:v>
      </x:c>
    </x:row>
    <x:row r="219" ht="36" customHeight="1">
      <x:c r="A219" s="3" t="str">
        <x:v>src/features/legal/index.ts</x:v>
      </x:c>
      <x:c r="B219" s="3" t="str">
        <x:v>source</x:v>
      </x:c>
      <x:c r="C219" s="3" t="n">
        <x:v>2</x:v>
      </x:c>
      <x:c r="D219" s="3" t="str">
        <x:v>CMS</x:v>
      </x:c>
      <x:c r="E219" s="3" t="str">
        <x:v>Supporting source của module</x:v>
      </x:c>
      <x:c r="F219" s="3" t="str">
        <x:v>c1f3ed1aba5fd6bad9b22f43cc746db7408334e552d5271b42976e4310847d9c</x:v>
      </x:c>
    </x:row>
    <x:row r="220" ht="36" customHeight="1">
      <x:c r="A220" s="3" t="str">
        <x:v>src/features/legal/legal.data.ts</x:v>
      </x:c>
      <x:c r="B220" s="3" t="str">
        <x:v>source</x:v>
      </x:c>
      <x:c r="C220" s="3" t="n">
        <x:v>207</x:v>
      </x:c>
      <x:c r="D220" s="3" t="str">
        <x:v>CMS</x:v>
      </x:c>
      <x:c r="E220" s="3" t="str">
        <x:v>CMS-010, CMS-011, CMS-012</x:v>
      </x:c>
      <x:c r="F220" s="3" t="str">
        <x:v>8c82abe4d98f604c622f8c4a44f8ee281b29aa0e68c8c25de7d5440d6115ab76</x:v>
      </x:c>
    </x:row>
    <x:row r="221" ht="36" customHeight="1">
      <x:c r="A221" s="3" t="str">
        <x:v>src/features/legal/legal.types.ts</x:v>
      </x:c>
      <x:c r="B221" s="3" t="str">
        <x:v>source</x:v>
      </x:c>
      <x:c r="C221" s="3" t="n">
        <x:v>12</x:v>
      </x:c>
      <x:c r="D221" s="3" t="str">
        <x:v>CMS</x:v>
      </x:c>
      <x:c r="E221" s="3" t="str">
        <x:v>Supporting source của module</x:v>
      </x:c>
      <x:c r="F221" s="3" t="str">
        <x:v>0ea8420887c641dfe0de0bf3838f58e7beea758036769fd8c4da1fd33f490a18</x:v>
      </x:c>
    </x:row>
    <x:row r="222" ht="36" customHeight="1">
      <x:c r="A222" s="3" t="str">
        <x:v>src/features/news/components/copy-link-button.tsx</x:v>
      </x:c>
      <x:c r="B222" s="3" t="str">
        <x:v>source</x:v>
      </x:c>
      <x:c r="C222" s="3" t="n">
        <x:v>44</x:v>
      </x:c>
      <x:c r="D222" s="3" t="str">
        <x:v>CMS</x:v>
      </x:c>
      <x:c r="E222" s="3" t="str">
        <x:v>CMS-006, CMS-007</x:v>
      </x:c>
      <x:c r="F222" s="3" t="str">
        <x:v>4110f395dfa3b73373fc59f07860837d4914891e228f9efcb7d4833f6dde71f9</x:v>
      </x:c>
    </x:row>
    <x:row r="223" ht="36" customHeight="1">
      <x:c r="A223" s="3" t="str">
        <x:v>src/features/news/components/featured-article.tsx</x:v>
      </x:c>
      <x:c r="B223" s="3" t="str">
        <x:v>source</x:v>
      </x:c>
      <x:c r="C223" s="3" t="n">
        <x:v>54</x:v>
      </x:c>
      <x:c r="D223" s="3" t="str">
        <x:v>CMS</x:v>
      </x:c>
      <x:c r="E223" s="3" t="str">
        <x:v>Supporting source của module</x:v>
      </x:c>
      <x:c r="F223" s="3" t="str">
        <x:v>295ed40c384b89882bdbdc511f1075fd5c1dc26811ee8f623d2fa7ea75d82003</x:v>
      </x:c>
    </x:row>
    <x:row r="224" ht="36" customHeight="1">
      <x:c r="A224" s="3" t="str">
        <x:v>src/features/news/components/news-article-row.tsx</x:v>
      </x:c>
      <x:c r="B224" s="3" t="str">
        <x:v>source</x:v>
      </x:c>
      <x:c r="C224" s="3" t="n">
        <x:v>41</x:v>
      </x:c>
      <x:c r="D224" s="3" t="str">
        <x:v>CMS</x:v>
      </x:c>
      <x:c r="E224" s="3" t="str">
        <x:v>Supporting source của module</x:v>
      </x:c>
      <x:c r="F224" s="3" t="str">
        <x:v>09249993c2a7dde7deb26172c8a9b31981637947dff97231436708721674ddb6</x:v>
      </x:c>
    </x:row>
    <x:row r="225" ht="36" customHeight="1">
      <x:c r="A225" s="3" t="str">
        <x:v>src/features/news/components/news-category-badge.tsx</x:v>
      </x:c>
      <x:c r="B225" s="3" t="str">
        <x:v>source</x:v>
      </x:c>
      <x:c r="C225" s="3" t="n">
        <x:v>30</x:v>
      </x:c>
      <x:c r="D225" s="3" t="str">
        <x:v>CMS</x:v>
      </x:c>
      <x:c r="E225" s="3" t="str">
        <x:v>Supporting source của module</x:v>
      </x:c>
      <x:c r="F225" s="3" t="str">
        <x:v>1d301ad226a58aa598e7cfeef26e979d3007a876f2f46d460c55d77d46ddaf97</x:v>
      </x:c>
    </x:row>
    <x:row r="226" ht="36" customHeight="1">
      <x:c r="A226" s="3" t="str">
        <x:v>src/features/news/components/news-detail-screen.tsx</x:v>
      </x:c>
      <x:c r="B226" s="3" t="str">
        <x:v>source</x:v>
      </x:c>
      <x:c r="C226" s="3" t="n">
        <x:v>88</x:v>
      </x:c>
      <x:c r="D226" s="3" t="str">
        <x:v>CMS</x:v>
      </x:c>
      <x:c r="E226" s="3" t="str">
        <x:v>CMS-005</x:v>
      </x:c>
      <x:c r="F226" s="3" t="str">
        <x:v>d63d9df96979717b71ebe65fb4a49235be90b379abbdbd9a3abe74d7c47bb520</x:v>
      </x:c>
    </x:row>
    <x:row r="227" ht="36" customHeight="1">
      <x:c r="A227" s="3" t="str">
        <x:v>src/features/news/components/news-feed.test.tsx</x:v>
      </x:c>
      <x:c r="B227" s="3" t="str">
        <x:v>test</x:v>
      </x:c>
      <x:c r="C227" s="3" t="n">
        <x:v>20</x:v>
      </x:c>
      <x:c r="D227" s="3" t="str">
        <x:v>CMS</x:v>
      </x:c>
      <x:c r="E227" s="3" t="str">
        <x:v>Supporting source của module</x:v>
      </x:c>
      <x:c r="F227" s="3" t="str">
        <x:v>2f029357d0c01d148656afd5e4fcb2711cc0867fb93445cb2ca8e8b67e0037a9</x:v>
      </x:c>
    </x:row>
    <x:row r="228" ht="36" customHeight="1">
      <x:c r="A228" s="3" t="str">
        <x:v>src/features/news/components/news-feed.tsx</x:v>
      </x:c>
      <x:c r="B228" s="3" t="str">
        <x:v>source</x:v>
      </x:c>
      <x:c r="C228" s="3" t="n">
        <x:v>148</x:v>
      </x:c>
      <x:c r="D228" s="3" t="str">
        <x:v>CMS</x:v>
      </x:c>
      <x:c r="E228" s="3" t="str">
        <x:v>CMS-001, CMS-002, CMS-003, CMS-004</x:v>
      </x:c>
      <x:c r="F228" s="3" t="str">
        <x:v>8c58176cb21b428acfa580d5572c166f9582c1eb2e6abbc0c5d5cd3fe6bc6016</x:v>
      </x:c>
    </x:row>
    <x:row r="229" ht="36" customHeight="1">
      <x:c r="A229" s="3" t="str">
        <x:v>src/features/news/components/news-hero.tsx</x:v>
      </x:c>
      <x:c r="B229" s="3" t="str">
        <x:v>source</x:v>
      </x:c>
      <x:c r="C229" s="3" t="n">
        <x:v>27</x:v>
      </x:c>
      <x:c r="D229" s="3" t="str">
        <x:v>CMS</x:v>
      </x:c>
      <x:c r="E229" s="3" t="str">
        <x:v>Supporting source của module</x:v>
      </x:c>
      <x:c r="F229" s="3" t="str">
        <x:v>ff1678ef3270a9d19a9995d42edf227ccbc95b6bcfaaf6cd50a72cb1c5299aae</x:v>
      </x:c>
    </x:row>
    <x:row r="230" ht="36" customHeight="1">
      <x:c r="A230" s="3" t="str">
        <x:v>src/features/news/components/news-list-screen.tsx</x:v>
      </x:c>
      <x:c r="B230" s="3" t="str">
        <x:v>source</x:v>
      </x:c>
      <x:c r="C230" s="3" t="n">
        <x:v>24</x:v>
      </x:c>
      <x:c r="D230" s="3" t="str">
        <x:v>CMS</x:v>
      </x:c>
      <x:c r="E230" s="3" t="str">
        <x:v>CMS-001, CMS-002, CMS-003, CMS-004</x:v>
      </x:c>
      <x:c r="F230" s="3" t="str">
        <x:v>a457b6b7145392f8cfe0fb4df0eb4e61a73b3c114ebc7ab9c66b75a2c4105bbf</x:v>
      </x:c>
    </x:row>
    <x:row r="231" ht="36" customHeight="1">
      <x:c r="A231" s="3" t="str">
        <x:v>src/features/news/components/news-sidebar.tsx</x:v>
      </x:c>
      <x:c r="B231" s="3" t="str">
        <x:v>source</x:v>
      </x:c>
      <x:c r="C231" s="3" t="n">
        <x:v>83</x:v>
      </x:c>
      <x:c r="D231" s="3" t="str">
        <x:v>CMS</x:v>
      </x:c>
      <x:c r="E231" s="3" t="str">
        <x:v>Supporting source của module</x:v>
      </x:c>
      <x:c r="F231" s="3" t="str">
        <x:v>4ee0a4584173a3b2228e5f1097813fa4bfa7840ded6ac003e88e15f8d5624cb5</x:v>
      </x:c>
    </x:row>
    <x:row r="232" ht="36" customHeight="1">
      <x:c r="A232" s="3" t="str">
        <x:v>src/features/news/data/news-data.test.ts</x:v>
      </x:c>
      <x:c r="B232" s="3" t="str">
        <x:v>test</x:v>
      </x:c>
      <x:c r="C232" s="3" t="n">
        <x:v>20</x:v>
      </x:c>
      <x:c r="D232" s="3" t="str">
        <x:v>CMS</x:v>
      </x:c>
      <x:c r="E232" s="3" t="str">
        <x:v>Supporting source của module</x:v>
      </x:c>
      <x:c r="F232" s="3" t="str">
        <x:v>0be209a36dc0626b4b787ad61ff6a98afefa641dd0663fa6089a85a4f13c183c</x:v>
      </x:c>
    </x:row>
    <x:row r="233" ht="36" customHeight="1">
      <x:c r="A233" s="3" t="str">
        <x:v>src/features/news/data/news-data.ts</x:v>
      </x:c>
      <x:c r="B233" s="3" t="str">
        <x:v>source</x:v>
      </x:c>
      <x:c r="C233" s="3" t="n">
        <x:v>192</x:v>
      </x:c>
      <x:c r="D233" s="3" t="str">
        <x:v>CMS</x:v>
      </x:c>
      <x:c r="E233" s="3" t="str">
        <x:v>CMS-001, CMS-002, CMS-003, CMS-004, CMS-005, CMS-008</x:v>
      </x:c>
      <x:c r="F233" s="3" t="str">
        <x:v>1f976f3851603b633f951901008a17b757c8a6f3d8643e0b931cdef8fa91e960</x:v>
      </x:c>
    </x:row>
    <x:row r="234" ht="36" customHeight="1">
      <x:c r="A234" s="3" t="str">
        <x:v>src/features/news/index.ts</x:v>
      </x:c>
      <x:c r="B234" s="3" t="str">
        <x:v>source</x:v>
      </x:c>
      <x:c r="C234" s="3" t="n">
        <x:v>4</x:v>
      </x:c>
      <x:c r="D234" s="3" t="str">
        <x:v>CMS</x:v>
      </x:c>
      <x:c r="E234" s="3" t="str">
        <x:v>Supporting source của module</x:v>
      </x:c>
      <x:c r="F234" s="3" t="str">
        <x:v>40239a7092561a964ff2fa9223e49f7e7d18447570cbd5cd3b27ae8fdf05bbd1</x:v>
      </x:c>
    </x:row>
    <x:row r="235" ht="36" customHeight="1">
      <x:c r="A235" s="3" t="str">
        <x:v>src/features/news/schemas/news.schema.ts</x:v>
      </x:c>
      <x:c r="B235" s="3" t="str">
        <x:v>source</x:v>
      </x:c>
      <x:c r="C235" s="3" t="n">
        <x:v>36</x:v>
      </x:c>
      <x:c r="D235" s="3" t="str">
        <x:v>CMS</x:v>
      </x:c>
      <x:c r="E235" s="3" t="str">
        <x:v>Supporting source của module</x:v>
      </x:c>
      <x:c r="F235" s="3" t="str">
        <x:v>154c28adb39d6316a5ee33804b77f0769ddcdc827fdc5420797cbdf39285d6e2</x:v>
      </x:c>
    </x:row>
    <x:row r="236" ht="36" customHeight="1">
      <x:c r="A236" s="3" t="str">
        <x:v>src/features/news/server.ts</x:v>
      </x:c>
      <x:c r="B236" s="3" t="str">
        <x:v>source</x:v>
      </x:c>
      <x:c r="C236" s="3" t="n">
        <x:v>1</x:v>
      </x:c>
      <x:c r="D236" s="3" t="str">
        <x:v>CMS</x:v>
      </x:c>
      <x:c r="E236" s="3" t="str">
        <x:v>Supporting source của module</x:v>
      </x:c>
      <x:c r="F236" s="3" t="str">
        <x:v>b39bfc59a9215c636f7c2d2ac2da68d4844471819317bdd5deab0ea04c29749b</x:v>
      </x:c>
    </x:row>
    <x:row r="237" ht="36" customHeight="1">
      <x:c r="A237" s="3" t="str">
        <x:v>src/features/news/utils/news-formatters.ts</x:v>
      </x:c>
      <x:c r="B237" s="3" t="str">
        <x:v>source</x:v>
      </x:c>
      <x:c r="C237" s="3" t="n">
        <x:v>8</x:v>
      </x:c>
      <x:c r="D237" s="3" t="str">
        <x:v>CMS</x:v>
      </x:c>
      <x:c r="E237" s="3" t="str">
        <x:v>Supporting source của module</x:v>
      </x:c>
      <x:c r="F237" s="3" t="str">
        <x:v>3dd54b2a38d15e41d60e9784c9de9ace396af9e4deed674e1418441d4fed411c</x:v>
      </x:c>
    </x:row>
    <x:row r="238" ht="36" customHeight="1">
      <x:c r="A238" s="3" t="str">
        <x:v>src/features/orders/api/order-query-keys.ts</x:v>
      </x:c>
      <x:c r="B238" s="3" t="str">
        <x:v>source</x:v>
      </x:c>
      <x:c r="C238" s="3" t="n">
        <x:v>7</x:v>
      </x:c>
      <x:c r="D238" s="3" t="str">
        <x:v>ORD</x:v>
      </x:c>
      <x:c r="E238" s="3" t="str">
        <x:v>Supporting source của module</x:v>
      </x:c>
      <x:c r="F238" s="3" t="str">
        <x:v>995e9a0dee6a5c03774411db7039bcb4d5ccc2f8544231b51d7f33cefc8f0bec</x:v>
      </x:c>
    </x:row>
    <x:row r="239" ht="36" customHeight="1">
      <x:c r="A239" s="3" t="str">
        <x:v>src/features/orders/api/orders.service.test.ts</x:v>
      </x:c>
      <x:c r="B239" s="3" t="str">
        <x:v>test</x:v>
      </x:c>
      <x:c r="C239" s="3" t="n">
        <x:v>71</x:v>
      </x:c>
      <x:c r="D239" s="3" t="str">
        <x:v>ORD</x:v>
      </x:c>
      <x:c r="E239" s="3" t="str">
        <x:v>Supporting source của module</x:v>
      </x:c>
      <x:c r="F239" s="3" t="str">
        <x:v>078170a577ac508fde79842e667a4088d15d4e28cff9a439a68480fff5c46d72</x:v>
      </x:c>
    </x:row>
    <x:row r="240" ht="55.5" customHeight="1">
      <x:c r="A240" s="3" t="str">
        <x:v>src/features/orders/api/orders.service.ts</x:v>
      </x:c>
      <x:c r="B240" s="3" t="str">
        <x:v>source</x:v>
      </x:c>
      <x:c r="C240" s="3" t="n">
        <x:v>31</x:v>
      </x:c>
      <x:c r="D240" s="3" t="str">
        <x:v>ORD</x:v>
      </x:c>
      <x:c r="E240" s="3" t="str">
        <x:v>ORD-001, ORD-002, ORD-003, ORD-004, ORD-005, ORD-006, ORD-007, ORD-008, ORD-009, ORD-010, ORD-011, ORD-012, ORD-013, ORD-014, ORD-015</x:v>
      </x:c>
      <x:c r="F240" s="3" t="str">
        <x:v>5047f689689899e5384a8d336f33de36e9cb4575d791acbf9ffafedd3c6ffc80</x:v>
      </x:c>
    </x:row>
    <x:row r="241" ht="36" customHeight="1">
      <x:c r="A241" s="3" t="str">
        <x:v>src/features/orders/api/use-order-detail-query.ts</x:v>
      </x:c>
      <x:c r="B241" s="3" t="str">
        <x:v>source</x:v>
      </x:c>
      <x:c r="C241" s="3" t="n">
        <x:v>12</x:v>
      </x:c>
      <x:c r="D241" s="3" t="str">
        <x:v>ORD</x:v>
      </x:c>
      <x:c r="E241" s="3" t="str">
        <x:v>Supporting source của module</x:v>
      </x:c>
      <x:c r="F241" s="3" t="str">
        <x:v>fb51ecc6ee6c61854be412cf4de35cd1732e8615c4ba46bc164021662f4f0d96</x:v>
      </x:c>
    </x:row>
    <x:row r="242" ht="55.5" customHeight="1">
      <x:c r="A242" s="3" t="str">
        <x:v>src/features/orders/api/use-orders-query.ts</x:v>
      </x:c>
      <x:c r="B242" s="3" t="str">
        <x:v>source</x:v>
      </x:c>
      <x:c r="C242" s="3" t="n">
        <x:v>14</x:v>
      </x:c>
      <x:c r="D242" s="3" t="str">
        <x:v>ORD</x:v>
      </x:c>
      <x:c r="E242" s="3" t="str">
        <x:v>ORD-001, ORD-002, ORD-003, ORD-004, ORD-005, ORD-006, ORD-007, ORD-008, ORD-009, ORD-010, ORD-011, ORD-012, ORD-013, ORD-014, ORD-015</x:v>
      </x:c>
      <x:c r="F242" s="3" t="str">
        <x:v>010160008d4c899e2e883b9dcb7bb604af55cf136806073e8f3fc4b77189c539</x:v>
      </x:c>
    </x:row>
    <x:row r="243" ht="36" customHeight="1">
      <x:c r="A243" s="3" t="str">
        <x:v>src/features/orders/components/order-detail-screen.tsx</x:v>
      </x:c>
      <x:c r="B243" s="3" t="str">
        <x:v>source</x:v>
      </x:c>
      <x:c r="C243" s="3" t="n">
        <x:v>57</x:v>
      </x:c>
      <x:c r="D243" s="3" t="str">
        <x:v>ORD</x:v>
      </x:c>
      <x:c r="E243" s="3" t="str">
        <x:v>Supporting source của module</x:v>
      </x:c>
      <x:c r="F243" s="3" t="str">
        <x:v>54aaae25c3b19b93d35789c13acb0ec93850b5b5f8964f1e0faeec5f7aa48dd3</x:v>
      </x:c>
    </x:row>
    <x:row r="244" ht="36" customHeight="1">
      <x:c r="A244" s="3" t="str">
        <x:v>src/features/orders/components/order-information-cards.tsx</x:v>
      </x:c>
      <x:c r="B244" s="3" t="str">
        <x:v>source</x:v>
      </x:c>
      <x:c r="C244" s="3" t="n">
        <x:v>67</x:v>
      </x:c>
      <x:c r="D244" s="3" t="str">
        <x:v>ORD</x:v>
      </x:c>
      <x:c r="E244" s="3" t="str">
        <x:v>Supporting source của module</x:v>
      </x:c>
      <x:c r="F244" s="3" t="str">
        <x:v>0db5ea89d26c7a6d33b91a575ebc8f94d9e4da6455292b1391bc4938e77c3c8e</x:v>
      </x:c>
    </x:row>
    <x:row r="245" ht="36" customHeight="1">
      <x:c r="A245" s="3" t="str">
        <x:v>src/features/orders/components/order-items-card.tsx</x:v>
      </x:c>
      <x:c r="B245" s="3" t="str">
        <x:v>source</x:v>
      </x:c>
      <x:c r="C245" s="3" t="n">
        <x:v>105</x:v>
      </x:c>
      <x:c r="D245" s="3" t="str">
        <x:v>ORD</x:v>
      </x:c>
      <x:c r="E245" s="3" t="str">
        <x:v>Supporting source của module</x:v>
      </x:c>
      <x:c r="F245" s="3" t="str">
        <x:v>eb5f862b682514b162be8a68b495ef824a572bbe7553ac9061d6b1976e98454f</x:v>
      </x:c>
    </x:row>
    <x:row r="246" ht="36" customHeight="1">
      <x:c r="A246" s="3" t="str">
        <x:v>src/features/orders/components/order-status-badge.tsx</x:v>
      </x:c>
      <x:c r="B246" s="3" t="str">
        <x:v>source</x:v>
      </x:c>
      <x:c r="C246" s="3" t="n">
        <x:v>55</x:v>
      </x:c>
      <x:c r="D246" s="3" t="str">
        <x:v>ORD</x:v>
      </x:c>
      <x:c r="E246" s="3" t="str">
        <x:v>Supporting source của module</x:v>
      </x:c>
      <x:c r="F246" s="3" t="str">
        <x:v>d99990f250301cf8493adb2fbc52a8a8de1fb2c6d7fd066979ba5a36cfb61869</x:v>
      </x:c>
    </x:row>
    <x:row r="247" ht="36" customHeight="1">
      <x:c r="A247" s="3" t="str">
        <x:v>src/features/orders/components/orders-empty-state.tsx</x:v>
      </x:c>
      <x:c r="B247" s="3" t="str">
        <x:v>source</x:v>
      </x:c>
      <x:c r="C247" s="3" t="n">
        <x:v>13</x:v>
      </x:c>
      <x:c r="D247" s="3" t="str">
        <x:v>ORD</x:v>
      </x:c>
      <x:c r="E247" s="3" t="str">
        <x:v>Supporting source của module</x:v>
      </x:c>
      <x:c r="F247" s="3" t="str">
        <x:v>78bd1ecc58ec6386e5fe24c05b613c254371fae4f5298aad1533fd402517a2da</x:v>
      </x:c>
    </x:row>
    <x:row r="248" ht="55.5" customHeight="1">
      <x:c r="A248" s="3" t="str">
        <x:v>src/features/orders/components/orders-screen.tsx</x:v>
      </x:c>
      <x:c r="B248" s="3" t="str">
        <x:v>source</x:v>
      </x:c>
      <x:c r="C248" s="3" t="n">
        <x:v>75</x:v>
      </x:c>
      <x:c r="D248" s="3" t="str">
        <x:v>ORD</x:v>
      </x:c>
      <x:c r="E248" s="3" t="str">
        <x:v>ORD-001, ORD-002, ORD-003, ORD-004, ORD-005, ORD-006, ORD-007, ORD-008, ORD-009, ORD-010, ORD-011, ORD-012, ORD-013, ORD-014, ORD-015</x:v>
      </x:c>
      <x:c r="F248" s="3" t="str">
        <x:v>9e8d2ea32b25ecdd510445663139966683be75019bd60e0b26519ea5826b1d6a</x:v>
      </x:c>
    </x:row>
    <x:row r="249" ht="36" customHeight="1">
      <x:c r="A249" s="3" t="str">
        <x:v>src/features/orders/components/orders-summary.tsx</x:v>
      </x:c>
      <x:c r="B249" s="3" t="str">
        <x:v>source</x:v>
      </x:c>
      <x:c r="C249" s="3" t="n">
        <x:v>11</x:v>
      </x:c>
      <x:c r="D249" s="3" t="str">
        <x:v>ORD</x:v>
      </x:c>
      <x:c r="E249" s="3" t="str">
        <x:v>Supporting source của module</x:v>
      </x:c>
      <x:c r="F249" s="3" t="str">
        <x:v>827a556a5697d1a1e59775c18422e4bdc6a78bc3aaf613a4ad0da5948f95d41a</x:v>
      </x:c>
    </x:row>
    <x:row r="250" ht="36" customHeight="1">
      <x:c r="A250" s="3" t="str">
        <x:v>src/features/orders/components/orders-table.test.tsx</x:v>
      </x:c>
      <x:c r="B250" s="3" t="str">
        <x:v>test</x:v>
      </x:c>
      <x:c r="C250" s="3" t="n">
        <x:v>47</x:v>
      </x:c>
      <x:c r="D250" s="3" t="str">
        <x:v>ORD</x:v>
      </x:c>
      <x:c r="E250" s="3" t="str">
        <x:v>Supporting source của module</x:v>
      </x:c>
      <x:c r="F250" s="3" t="str">
        <x:v>dd96faf372212a9dae72c5eba6596b462d5d53716a7c935fac20b3cc97fd4b19</x:v>
      </x:c>
    </x:row>
    <x:row r="251" ht="36" customHeight="1">
      <x:c r="A251" s="3" t="str">
        <x:v>src/features/orders/components/orders-table.tsx</x:v>
      </x:c>
      <x:c r="B251" s="3" t="str">
        <x:v>source</x:v>
      </x:c>
      <x:c r="C251" s="3" t="n">
        <x:v>117</x:v>
      </x:c>
      <x:c r="D251" s="3" t="str">
        <x:v>ORD</x:v>
      </x:c>
      <x:c r="E251" s="3" t="str">
        <x:v>Supporting source của module</x:v>
      </x:c>
      <x:c r="F251" s="3" t="str">
        <x:v>28843b96354337e24694681b6c4cae1e2d4f2420f4bb3040a2e338c1cd5cb29e</x:v>
      </x:c>
    </x:row>
    <x:row r="252" ht="36" customHeight="1">
      <x:c r="A252" s="3" t="str">
        <x:v>src/features/orders/index.ts</x:v>
      </x:c>
      <x:c r="B252" s="3" t="str">
        <x:v>source</x:v>
      </x:c>
      <x:c r="C252" s="3" t="n">
        <x:v>2</x:v>
      </x:c>
      <x:c r="D252" s="3" t="str">
        <x:v>ORD</x:v>
      </x:c>
      <x:c r="E252" s="3" t="str">
        <x:v>Supporting source của module</x:v>
      </x:c>
      <x:c r="F252" s="3" t="str">
        <x:v>c0397ab56c4b73a7d804f236ab2f36bf44e50a8b0d9c9564585409e313a0ac5c</x:v>
      </x:c>
    </x:row>
    <x:row r="253" ht="36" customHeight="1">
      <x:c r="A253" s="3" t="str">
        <x:v>src/features/orders/schemas/order.schema.ts</x:v>
      </x:c>
      <x:c r="B253" s="3" t="str">
        <x:v>source</x:v>
      </x:c>
      <x:c r="C253" s="3" t="n">
        <x:v>70</x:v>
      </x:c>
      <x:c r="D253" s="3" t="str">
        <x:v>ORD</x:v>
      </x:c>
      <x:c r="E253" s="3" t="str">
        <x:v>Supporting source của module</x:v>
      </x:c>
      <x:c r="F253" s="3" t="str">
        <x:v>692ded0c61107272d8cea6c47909d14ebb2069179632b30aaf1747abaa897dce</x:v>
      </x:c>
    </x:row>
    <x:row r="254" ht="36" customHeight="1">
      <x:c r="A254" s="3" t="str">
        <x:v>src/features/orders/utils/order-formatters.test.ts</x:v>
      </x:c>
      <x:c r="B254" s="3" t="str">
        <x:v>test</x:v>
      </x:c>
      <x:c r="C254" s="3" t="n">
        <x:v>13</x:v>
      </x:c>
      <x:c r="D254" s="3" t="str">
        <x:v>ORD</x:v>
      </x:c>
      <x:c r="E254" s="3" t="str">
        <x:v>Supporting source của module</x:v>
      </x:c>
      <x:c r="F254" s="3" t="str">
        <x:v>12507dd94de5194a04cbe4e6e3536de5554b954eefccfff1b4185fc88c468c61</x:v>
      </x:c>
    </x:row>
    <x:row r="255" ht="36" customHeight="1">
      <x:c r="A255" s="3" t="str">
        <x:v>src/features/orders/utils/order-formatters.ts</x:v>
      </x:c>
      <x:c r="B255" s="3" t="str">
        <x:v>source</x:v>
      </x:c>
      <x:c r="C255" s="3" t="n">
        <x:v>14</x:v>
      </x:c>
      <x:c r="D255" s="3" t="str">
        <x:v>ORD</x:v>
      </x:c>
      <x:c r="E255" s="3" t="str">
        <x:v>Supporting source của module</x:v>
      </x:c>
      <x:c r="F255" s="3" t="str">
        <x:v>8fbe62cc517a96d5b10923947f94507b0b90e82e8cc35e599a96a1eb2374fa8f</x:v>
      </x:c>
    </x:row>
    <x:row r="256" ht="36" customHeight="1">
      <x:c r="A256" s="3" t="str">
        <x:v>src/features/products/components/catalog-banner.tsx</x:v>
      </x:c>
      <x:c r="B256" s="3" t="str">
        <x:v>source</x:v>
      </x:c>
      <x:c r="C256" s="3" t="n">
        <x:v>60</x:v>
      </x:c>
      <x:c r="D256" s="3" t="str">
        <x:v>CAT, PDP</x:v>
      </x:c>
      <x:c r="E256" s="3" t="str">
        <x:v>Supporting source của module</x:v>
      </x:c>
      <x:c r="F256" s="3" t="str">
        <x:v>99671810b056418b411062ceb455a003de90856ef7fbf8581d0da6194f09f3a5</x:v>
      </x:c>
    </x:row>
    <x:row r="257" ht="36" customHeight="1">
      <x:c r="A257" s="3" t="str">
        <x:v>src/features/products/components/catalog-filters.test.tsx</x:v>
      </x:c>
      <x:c r="B257" s="3" t="str">
        <x:v>test</x:v>
      </x:c>
      <x:c r="C257" s="3" t="n">
        <x:v>87</x:v>
      </x:c>
      <x:c r="D257" s="3" t="str">
        <x:v>CAT, PDP</x:v>
      </x:c>
      <x:c r="E257" s="3" t="str">
        <x:v>Supporting source của module</x:v>
      </x:c>
      <x:c r="F257" s="3" t="str">
        <x:v>7740d67983a790e6cf170fa128b9b9737e901fcb8467557f7df335bb6fe6022e</x:v>
      </x:c>
    </x:row>
    <x:row r="258" ht="36" customHeight="1">
      <x:c r="A258" s="3" t="str">
        <x:v>src/features/products/components/catalog-filters.tsx</x:v>
      </x:c>
      <x:c r="B258" s="3" t="str">
        <x:v>source</x:v>
      </x:c>
      <x:c r="C258" s="3" t="n">
        <x:v>225</x:v>
      </x:c>
      <x:c r="D258" s="3" t="str">
        <x:v>CAT, PDP</x:v>
      </x:c>
      <x:c r="E258" s="3" t="str">
        <x:v>CAT-004, CAT-005, CAT-006, CAT-007</x:v>
      </x:c>
      <x:c r="F258" s="3" t="str">
        <x:v>69784134f3db49061f13fbeec58519ffef2a10d7ceec94b0c8827ae833ec57e5</x:v>
      </x:c>
    </x:row>
    <x:row r="259" ht="36" customHeight="1">
      <x:c r="A259" s="3" t="str">
        <x:v>src/features/products/components/catalog-origin-filter.test.tsx</x:v>
      </x:c>
      <x:c r="B259" s="3" t="str">
        <x:v>test</x:v>
      </x:c>
      <x:c r="C259" s="3" t="n">
        <x:v>93</x:v>
      </x:c>
      <x:c r="D259" s="3" t="str">
        <x:v>CAT, PDP</x:v>
      </x:c>
      <x:c r="E259" s="3" t="str">
        <x:v>Supporting source của module</x:v>
      </x:c>
      <x:c r="F259" s="3" t="str">
        <x:v>37f59a1e5686fc5e69ad91799b2b0520f19decad90b55d21be80b4fd303cfab2</x:v>
      </x:c>
    </x:row>
    <x:row r="260" ht="36" customHeight="1">
      <x:c r="A260" s="3" t="str">
        <x:v>src/features/products/components/catalog-origin-filter.tsx</x:v>
      </x:c>
      <x:c r="B260" s="3" t="str">
        <x:v>source</x:v>
      </x:c>
      <x:c r="C260" s="3" t="n">
        <x:v>141</x:v>
      </x:c>
      <x:c r="D260" s="3" t="str">
        <x:v>CAT, PDP</x:v>
      </x:c>
      <x:c r="E260" s="3" t="str">
        <x:v>CAT-008, CAT-009, CAT-010</x:v>
      </x:c>
      <x:c r="F260" s="3" t="str">
        <x:v>e8e54da0cd437c2fec46381c09d6b3e3209d94d53071981c7fd8c3299a678da5</x:v>
      </x:c>
    </x:row>
    <x:row r="261" ht="36" customHeight="1">
      <x:c r="A261" s="3" t="str">
        <x:v>src/features/products/components/catalog-workspace.test.tsx</x:v>
      </x:c>
      <x:c r="B261" s="3" t="str">
        <x:v>test</x:v>
      </x:c>
      <x:c r="C261" s="3" t="n">
        <x:v>227</x:v>
      </x:c>
      <x:c r="D261" s="3" t="str">
        <x:v>CAT, PDP</x:v>
      </x:c>
      <x:c r="E261" s="3" t="str">
        <x:v>Supporting source của module</x:v>
      </x:c>
      <x:c r="F261" s="3" t="str">
        <x:v>218e3103cb622be4db5bf01e8596eb0e55517c0ec35748a68f0d8a4a7d0f2057</x:v>
      </x:c>
    </x:row>
    <x:row r="262" ht="40" customHeight="1">
      <x:c r="A262" s="3" t="str">
        <x:v>src/features/products/components/catalog-workspace.tsx</x:v>
      </x:c>
      <x:c r="B262" s="3" t="str">
        <x:v>source</x:v>
      </x:c>
      <x:c r="C262" s="3" t="n">
        <x:v>164</x:v>
      </x:c>
      <x:c r="D262" s="3" t="str">
        <x:v>CAT, PDP</x:v>
      </x:c>
      <x:c r="E262" s="3" t="str">
        <x:v>CAT-004, CAT-005, CAT-006, CAT-007, CAT-011, CAT-020, CAT-021, CAT-027, CAT-028</x:v>
      </x:c>
      <x:c r="F262" s="3" t="str">
        <x:v>a976ca1141bb7da9040728a08fd297691e0d07a3eafeebeb8136b26115e5dd87</x:v>
      </x:c>
    </x:row>
    <x:row r="263" ht="36" customHeight="1">
      <x:c r="A263" s="3" t="str">
        <x:v>src/features/products/components/category-strip.test.tsx</x:v>
      </x:c>
      <x:c r="B263" s="3" t="str">
        <x:v>test</x:v>
      </x:c>
      <x:c r="C263" s="3" t="n">
        <x:v>59</x:v>
      </x:c>
      <x:c r="D263" s="3" t="str">
        <x:v>CAT, PDP</x:v>
      </x:c>
      <x:c r="E263" s="3" t="str">
        <x:v>Supporting source của module</x:v>
      </x:c>
      <x:c r="F263" s="3" t="str">
        <x:v>87342470d86bc0864c95c6455df78e4671cec25dcf0cb8ee81eb0023934828b5</x:v>
      </x:c>
    </x:row>
    <x:row r="264" ht="36" customHeight="1">
      <x:c r="A264" s="3" t="str">
        <x:v>src/features/products/components/category-strip.tsx</x:v>
      </x:c>
      <x:c r="B264" s="3" t="str">
        <x:v>source</x:v>
      </x:c>
      <x:c r="C264" s="3" t="n">
        <x:v>118</x:v>
      </x:c>
      <x:c r="D264" s="3" t="str">
        <x:v>CAT, PDP</x:v>
      </x:c>
      <x:c r="E264" s="3" t="str">
        <x:v>CAT-020, CAT-021, CAT-022, CAT-023, CAT-024, CAT-027</x:v>
      </x:c>
      <x:c r="F264" s="3" t="str">
        <x:v>3d71d07fc5abf0070301e0ca0d4394430cd06bb67e0e1ce14f329a9d6824875d</x:v>
      </x:c>
    </x:row>
    <x:row r="265" ht="36" customHeight="1">
      <x:c r="A265" s="3" t="str">
        <x:v>src/features/products/components/product-card.test.tsx</x:v>
      </x:c>
      <x:c r="B265" s="3" t="str">
        <x:v>test</x:v>
      </x:c>
      <x:c r="C265" s="3" t="n">
        <x:v>107</x:v>
      </x:c>
      <x:c r="D265" s="3" t="str">
        <x:v>CAT, PDP</x:v>
      </x:c>
      <x:c r="E265" s="3" t="str">
        <x:v>Supporting source của module</x:v>
      </x:c>
      <x:c r="F265" s="3" t="str">
        <x:v>33875aa03fe6d293124af23e3e39117f4e73c9384f2d6a93fd78e2418dfecb86</x:v>
      </x:c>
    </x:row>
    <x:row r="266" ht="40" customHeight="1">
      <x:c r="A266" s="3" t="str">
        <x:v>src/features/products/components/product-card.tsx</x:v>
      </x:c>
      <x:c r="B266" s="3" t="str">
        <x:v>source</x:v>
      </x:c>
      <x:c r="C266" s="3" t="n">
        <x:v>164</x:v>
      </x:c>
      <x:c r="D266" s="3" t="str">
        <x:v>CAT, PDP</x:v>
      </x:c>
      <x:c r="E266" s="3" t="str">
        <x:v>PDP-005, PDP-006, PDP-007, PDP-008, PDP-009, PDP-011, PDP-012, PDP-013, PDP-016</x:v>
      </x:c>
      <x:c r="F266" s="3" t="str">
        <x:v>ed0ae94dbfb17bfddccfbe2ebab7c60c4c54c47e8caab84cfe036d6d237f8ada</x:v>
      </x:c>
    </x:row>
    <x:row r="267" ht="36" customHeight="1">
      <x:c r="A267" s="3" t="str">
        <x:v>src/features/products/components/product-carousel.tsx</x:v>
      </x:c>
      <x:c r="B267" s="3" t="str">
        <x:v>source</x:v>
      </x:c>
      <x:c r="C267" s="3" t="n">
        <x:v>76</x:v>
      </x:c>
      <x:c r="D267" s="3" t="str">
        <x:v>CAT, PDP</x:v>
      </x:c>
      <x:c r="E267" s="3" t="str">
        <x:v>UI-014, UI-015, UI-016, UI-017, UI-018, UI-019</x:v>
      </x:c>
      <x:c r="F267" s="3" t="str">
        <x:v>3a4a5114d7abf5df7af75f5342252ba3cf1b8cbc856d02acf2b3c7554daf7291</x:v>
      </x:c>
    </x:row>
    <x:row r="268" ht="36" customHeight="1">
      <x:c r="A268" s="3" t="str">
        <x:v>src/features/products/components/product-detail-screen.tsx</x:v>
      </x:c>
      <x:c r="B268" s="3" t="str">
        <x:v>source</x:v>
      </x:c>
      <x:c r="C268" s="3" t="n">
        <x:v>44</x:v>
      </x:c>
      <x:c r="D268" s="3" t="str">
        <x:v>CAT, PDP</x:v>
      </x:c>
      <x:c r="E268" s="3" t="str">
        <x:v>Supporting source của module</x:v>
      </x:c>
      <x:c r="F268" s="3" t="str">
        <x:v>85c46c69c9f879c212d3149386ec458eae378bb7f8ee1311ba5f8a67d7ad49a3</x:v>
      </x:c>
    </x:row>
    <x:row r="269" ht="40" customHeight="1">
      <x:c r="A269" s="3" t="str">
        <x:v>src/features/products/components/product-gallery.tsx</x:v>
      </x:c>
      <x:c r="B269" s="3" t="str">
        <x:v>source</x:v>
      </x:c>
      <x:c r="C269" s="3" t="n">
        <x:v>80</x:v>
      </x:c>
      <x:c r="D269" s="3" t="str">
        <x:v>CAT, PDP</x:v>
      </x:c>
      <x:c r="E269" s="3" t="str">
        <x:v>PDP-017, PDP-018, UI-014, UI-015, UI-016, UI-017, UI-018, UI-019</x:v>
      </x:c>
      <x:c r="F269" s="3" t="str">
        <x:v>4d51b8ccf7d49c35612f6f45e3318214781497a7d1fea68b4d8783ea339c93cb</x:v>
      </x:c>
    </x:row>
    <x:row r="270" ht="36" customHeight="1">
      <x:c r="A270" s="3" t="str">
        <x:v>src/features/products/components/product-information.test.tsx</x:v>
      </x:c>
      <x:c r="B270" s="3" t="str">
        <x:v>test</x:v>
      </x:c>
      <x:c r="C270" s="3" t="n">
        <x:v>61</x:v>
      </x:c>
      <x:c r="D270" s="3" t="str">
        <x:v>CAT, PDP</x:v>
      </x:c>
      <x:c r="E270" s="3" t="str">
        <x:v>Supporting source của module</x:v>
      </x:c>
      <x:c r="F270" s="3" t="str">
        <x:v>cfae974c71e2429cfb4eafea1efdcc46843eb07c9467e1b2f053cb9081feef15</x:v>
      </x:c>
    </x:row>
    <x:row r="271" ht="36" customHeight="1">
      <x:c r="A271" s="3" t="str">
        <x:v>src/features/products/components/product-information.tsx</x:v>
      </x:c>
      <x:c r="B271" s="3" t="str">
        <x:v>source</x:v>
      </x:c>
      <x:c r="C271" s="3" t="n">
        <x:v>142</x:v>
      </x:c>
      <x:c r="D271" s="3" t="str">
        <x:v>CAT, PDP</x:v>
      </x:c>
      <x:c r="E271" s="3" t="str">
        <x:v>PDP-020, PDP-021, PDP-022, PDP-023</x:v>
      </x:c>
      <x:c r="F271" s="3" t="str">
        <x:v>91ff1606c025e4e3699758313ac666249b02fa8f9356896f7dc6ccda8b82d18f</x:v>
      </x:c>
    </x:row>
    <x:row r="272" ht="36" customHeight="1">
      <x:c r="A272" s="3" t="str">
        <x:v>src/features/products/components/product-list-screen.tsx</x:v>
      </x:c>
      <x:c r="B272" s="3" t="str">
        <x:v>source</x:v>
      </x:c>
      <x:c r="C272" s="3" t="n">
        <x:v>90</x:v>
      </x:c>
      <x:c r="D272" s="3" t="str">
        <x:v>CAT, PDP</x:v>
      </x:c>
      <x:c r="E272" s="3" t="str">
        <x:v>Supporting source của module</x:v>
      </x:c>
      <x:c r="F272" s="3" t="str">
        <x:v>28f70bac6f947f8e6a0f97576a21369f90528f8fdcc657a5f0cf6976e42e852b</x:v>
      </x:c>
    </x:row>
    <x:row r="273" ht="36" customHeight="1">
      <x:c r="A273" s="3" t="str">
        <x:v>src/features/products/components/product-pagination.tsx</x:v>
      </x:c>
      <x:c r="B273" s="3" t="str">
        <x:v>source</x:v>
      </x:c>
      <x:c r="C273" s="3" t="n">
        <x:v>80</x:v>
      </x:c>
      <x:c r="D273" s="3" t="str">
        <x:v>CAT, PDP</x:v>
      </x:c>
      <x:c r="E273" s="3" t="str">
        <x:v>Supporting source của module</x:v>
      </x:c>
      <x:c r="F273" s="3" t="str">
        <x:v>997a0f26a26746a85999543869e5bab0fd4366791771ba42a1a8afc86ecfee80</x:v>
      </x:c>
    </x:row>
    <x:row r="274" ht="36" customHeight="1">
      <x:c r="A274" s="3" t="str">
        <x:v>src/features/products/components/product-purchase-panel.test.tsx</x:v>
      </x:c>
      <x:c r="B274" s="3" t="str">
        <x:v>test</x:v>
      </x:c>
      <x:c r="C274" s="3" t="n">
        <x:v>115</x:v>
      </x:c>
      <x:c r="D274" s="3" t="str">
        <x:v>CAT, PDP</x:v>
      </x:c>
      <x:c r="E274" s="3" t="str">
        <x:v>Supporting source của module</x:v>
      </x:c>
      <x:c r="F274" s="3" t="str">
        <x:v>a4c36ec3d92c4b7493b712f8012f3a7bab5d38a5cf86604af7b4fa8e5796a4a8</x:v>
      </x:c>
    </x:row>
    <x:row r="275" ht="55.5" customHeight="1">
      <x:c r="A275" s="3" t="str">
        <x:v>src/features/products/components/product-purchase-panel.tsx</x:v>
      </x:c>
      <x:c r="B275" s="3" t="str">
        <x:v>source</x:v>
      </x:c>
      <x:c r="C275" s="3" t="n">
        <x:v>270</x:v>
      </x:c>
      <x:c r="D275" s="3" t="str">
        <x:v>CAT, PDP</x:v>
      </x:c>
      <x:c r="E275" s="3" t="str">
        <x:v>PDP-003, PDP-004, PDP-005, PDP-006, PDP-007, PDP-008, PDP-010, PDP-011, PDP-012, PDP-013, PDP-014, PDP-015, PDP-016, PDP-021, PDP-022, PDP-023</x:v>
      </x:c>
      <x:c r="F275" s="3" t="str">
        <x:v>04b983b36766de98e3d39f8d1b547a6a8f3eee486cda1cf34fd446931f65de39</x:v>
      </x:c>
    </x:row>
    <x:row r="276" ht="36" customHeight="1">
      <x:c r="A276" s="3" t="str">
        <x:v>src/features/products/components/product-shelf.tsx</x:v>
      </x:c>
      <x:c r="B276" s="3" t="str">
        <x:v>source</x:v>
      </x:c>
      <x:c r="C276" s="3" t="n">
        <x:v>32</x:v>
      </x:c>
      <x:c r="D276" s="3" t="str">
        <x:v>CAT, PDP</x:v>
      </x:c>
      <x:c r="E276" s="3" t="str">
        <x:v>Supporting source của module</x:v>
      </x:c>
      <x:c r="F276" s="3" t="str">
        <x:v>49b3885df1f9f63036ee91d0f05d80f3aeb0d0e9af29722596dc0c8eebfcc544</x:v>
      </x:c>
    </x:row>
    <x:row r="277" ht="36" customHeight="1">
      <x:c r="A277" s="3" t="str">
        <x:v>src/features/products/components/quote-card.tsx</x:v>
      </x:c>
      <x:c r="B277" s="3" t="str">
        <x:v>source</x:v>
      </x:c>
      <x:c r="C277" s="3" t="n">
        <x:v>40</x:v>
      </x:c>
      <x:c r="D277" s="3" t="str">
        <x:v>CAT, PDP</x:v>
      </x:c>
      <x:c r="E277" s="3" t="str">
        <x:v>Supporting source của module</x:v>
      </x:c>
      <x:c r="F277" s="3" t="str">
        <x:v>a16fbc563a646e727db1cc68f6870e9d5c943f44fd80d53d7305f3dcadd762b6</x:v>
      </x:c>
    </x:row>
    <x:row r="278" ht="36" customHeight="1">
      <x:c r="A278" s="3" t="str">
        <x:v>src/features/products/data/products-data.test.ts</x:v>
      </x:c>
      <x:c r="B278" s="3" t="str">
        <x:v>test</x:v>
      </x:c>
      <x:c r="C278" s="3" t="n">
        <x:v>24</x:v>
      </x:c>
      <x:c r="D278" s="3" t="str">
        <x:v>CAT, PDP</x:v>
      </x:c>
      <x:c r="E278" s="3" t="str">
        <x:v>Supporting source của module</x:v>
      </x:c>
      <x:c r="F278" s="3" t="str">
        <x:v>1f3e495a2229996c94ca70d31a1c1d83c60ccbcd9d3dfd346753df671d942ddb</x:v>
      </x:c>
    </x:row>
    <x:row r="279" ht="36" customHeight="1">
      <x:c r="A279" s="3" t="str">
        <x:v>src/features/products/data/products-data.ts</x:v>
      </x:c>
      <x:c r="B279" s="3" t="str">
        <x:v>source</x:v>
      </x:c>
      <x:c r="C279" s="3" t="n">
        <x:v>157</x:v>
      </x:c>
      <x:c r="D279" s="3" t="str">
        <x:v>CAT, PDP</x:v>
      </x:c>
      <x:c r="E279" s="3" t="str">
        <x:v>Supporting source của module</x:v>
      </x:c>
      <x:c r="F279" s="3" t="str">
        <x:v>108dc205b653393dd862af6332e9fa6722798cdb367f7e4ea077b3688001f4b7</x:v>
      </x:c>
    </x:row>
    <x:row r="280" ht="36" customHeight="1">
      <x:c r="A280" s="3" t="str">
        <x:v>src/features/products/index.ts</x:v>
      </x:c>
      <x:c r="B280" s="3" t="str">
        <x:v>source</x:v>
      </x:c>
      <x:c r="C280" s="3" t="n">
        <x:v>36</x:v>
      </x:c>
      <x:c r="D280" s="3" t="str">
        <x:v>CAT, PDP</x:v>
      </x:c>
      <x:c r="E280" s="3" t="str">
        <x:v>Supporting source của module</x:v>
      </x:c>
      <x:c r="F280" s="3" t="str">
        <x:v>4770a2edd1146c5ea8bd920544d72b2b4c5b91bf3b60c2932ad7470513e37bbe</x:v>
      </x:c>
    </x:row>
    <x:row r="281" ht="36" customHeight="1">
      <x:c r="A281" s="3" t="str">
        <x:v>src/features/products/products.types.ts</x:v>
      </x:c>
      <x:c r="B281" s="3" t="str">
        <x:v>source</x:v>
      </x:c>
      <x:c r="C281" s="3" t="n">
        <x:v>128</x:v>
      </x:c>
      <x:c r="D281" s="3" t="str">
        <x:v>CAT, PDP</x:v>
      </x:c>
      <x:c r="E281" s="3" t="str">
        <x:v>Supporting source của module</x:v>
      </x:c>
      <x:c r="F281" s="3" t="str">
        <x:v>cc59a89314337a961c299c4e2bcb9212e213ea9dcee296ecb6166e3b651295bf</x:v>
      </x:c>
    </x:row>
    <x:row r="282" ht="36" customHeight="1">
      <x:c r="A282" s="3" t="str">
        <x:v>src/features/products/schemas/product-catalog.schema.test.ts</x:v>
      </x:c>
      <x:c r="B282" s="3" t="str">
        <x:v>test</x:v>
      </x:c>
      <x:c r="C282" s="3" t="n">
        <x:v>52</x:v>
      </x:c>
      <x:c r="D282" s="3" t="str">
        <x:v>CAT, PDP</x:v>
      </x:c>
      <x:c r="E282" s="3" t="str">
        <x:v>Supporting source của module</x:v>
      </x:c>
      <x:c r="F282" s="3" t="str">
        <x:v>49546171c426b3b9c653628cce0345fe3d020ae84f35d8598ee545397b4571a8</x:v>
      </x:c>
    </x:row>
    <x:row r="283" ht="55.5" customHeight="1">
      <x:c r="A283" s="3" t="str">
        <x:v>src/features/products/schemas/product-catalog.schema.ts</x:v>
      </x:c>
      <x:c r="B283" s="3" t="str">
        <x:v>source</x:v>
      </x:c>
      <x:c r="C283" s="3" t="n">
        <x:v>59</x:v>
      </x:c>
      <x:c r="D283" s="3" t="str">
        <x:v>CAT, PDP</x:v>
      </x:c>
      <x:c r="E283" s="3" t="str">
        <x:v>CAT-004, CAT-005, CAT-006, CAT-007, CAT-008, CAT-009, CAT-010, CAT-012, CAT-013, CAT-014, CAT-015, CAT-016, CAT-017, CAT-018, CAT-026</x:v>
      </x:c>
      <x:c r="F283" s="3" t="str">
        <x:v>fe86c966bc3793191c40730ee89cb59bcd52b2f0d287f7b7fdf918412a0ed375</x:v>
      </x:c>
    </x:row>
    <x:row r="284" ht="36" customHeight="1">
      <x:c r="A284" s="3" t="str">
        <x:v>src/features/products/schemas/product-detail.schema.test.ts</x:v>
      </x:c>
      <x:c r="B284" s="3" t="str">
        <x:v>test</x:v>
      </x:c>
      <x:c r="C284" s="3" t="n">
        <x:v>110</x:v>
      </x:c>
      <x:c r="D284" s="3" t="str">
        <x:v>CAT, PDP</x:v>
      </x:c>
      <x:c r="E284" s="3" t="str">
        <x:v>Supporting source của module</x:v>
      </x:c>
      <x:c r="F284" s="3" t="str">
        <x:v>2e01d2cbeded5b365841046a439655e4fd39c7e6b3058e7f0af7cd70015199ab</x:v>
      </x:c>
    </x:row>
    <x:row r="285" ht="36" customHeight="1">
      <x:c r="A285" s="3" t="str">
        <x:v>src/features/products/schemas/product-detail.schema.ts</x:v>
      </x:c>
      <x:c r="B285" s="3" t="str">
        <x:v>source</x:v>
      </x:c>
      <x:c r="C285" s="3" t="n">
        <x:v>110</x:v>
      </x:c>
      <x:c r="D285" s="3" t="str">
        <x:v>CAT, PDP</x:v>
      </x:c>
      <x:c r="E285" s="3" t="str">
        <x:v>PDP-001, PDP-002, PDP-024</x:v>
      </x:c>
      <x:c r="F285" s="3" t="str">
        <x:v>a6651b88504a50ac0bd42eaee1bceb24e07ddd56b5612d94e9745af571b7bf3a</x:v>
      </x:c>
    </x:row>
    <x:row r="286" ht="36" customHeight="1">
      <x:c r="A286" s="3" t="str">
        <x:v>src/features/products/schemas/product-list.schema.ts</x:v>
      </x:c>
      <x:c r="B286" s="3" t="str">
        <x:v>source</x:v>
      </x:c>
      <x:c r="C286" s="3" t="n">
        <x:v>42</x:v>
      </x:c>
      <x:c r="D286" s="3" t="str">
        <x:v>CAT, PDP</x:v>
      </x:c>
      <x:c r="E286" s="3" t="str">
        <x:v>Supporting source của module</x:v>
      </x:c>
      <x:c r="F286" s="3" t="str">
        <x:v>4d3c21db12c1ebedc2d44333108d311f9487c4ee4ffc85aa6b5d9a85977ebc72</x:v>
      </x:c>
    </x:row>
    <x:row r="287" ht="36" customHeight="1">
      <x:c r="A287" s="3" t="str">
        <x:v>src/features/products/schemas/product-origin.schema.ts</x:v>
      </x:c>
      <x:c r="B287" s="3" t="str">
        <x:v>source</x:v>
      </x:c>
      <x:c r="C287" s="3" t="n">
        <x:v>3</x:v>
      </x:c>
      <x:c r="D287" s="3" t="str">
        <x:v>CAT, PDP</x:v>
      </x:c>
      <x:c r="E287" s="3" t="str">
        <x:v>Supporting source của module</x:v>
      </x:c>
      <x:c r="F287" s="3" t="str">
        <x:v>2521e852874a8ded651f4ca578b5b35059a9f309b915273404180aaaa09997b1</x:v>
      </x:c>
    </x:row>
    <x:row r="288" ht="36" customHeight="1">
      <x:c r="A288" s="3" t="str">
        <x:v>src/features/products/server.test.ts</x:v>
      </x:c>
      <x:c r="B288" s="3" t="str">
        <x:v>test</x:v>
      </x:c>
      <x:c r="C288" s="3" t="n">
        <x:v>285</x:v>
      </x:c>
      <x:c r="D288" s="3" t="str">
        <x:v>CAT, PDP</x:v>
      </x:c>
      <x:c r="E288" s="3" t="str">
        <x:v>Supporting source của module</x:v>
      </x:c>
      <x:c r="F288" s="3" t="str">
        <x:v>607989e814eec8cf8d79a5643751ef0b48f8612d8fd3c0c384887e3e09e85d44</x:v>
      </x:c>
    </x:row>
    <x:row r="289" ht="71" customHeight="1">
      <x:c r="A289" s="3" t="str">
        <x:v>src/features/products/server.ts</x:v>
      </x:c>
      <x:c r="B289" s="3" t="str">
        <x:v>source</x:v>
      </x:c>
      <x:c r="C289" s="3" t="n">
        <x:v>110</x:v>
      </x:c>
      <x:c r="D289" s="3" t="str">
        <x:v>CAT, PDP</x:v>
      </x:c>
      <x:c r="E289" s="3" t="str">
        <x:v>CAT-001, CAT-002, CAT-003, CAT-008, CAT-009, CAT-010, CAT-011, CAT-012, CAT-013, CAT-014, CAT-015, CAT-016, CAT-017, CAT-018, CAT-019, CAT-022, CAT-023, CAT-024, CAT-026, PDP-001, PDP-002</x:v>
      </x:c>
      <x:c r="F289" s="3" t="str">
        <x:v>f0852d6b007f1b99090b301d14eeeb94488c7231dadfe3a94cbccee77254e9ce</x:v>
      </x:c>
    </x:row>
    <x:row r="290" ht="36" customHeight="1">
      <x:c r="A290" s="3" t="str">
        <x:v>src/features/products/utils/flatten-catalog-categories.ts</x:v>
      </x:c>
      <x:c r="B290" s="3" t="str">
        <x:v>source</x:v>
      </x:c>
      <x:c r="C290" s="3" t="n">
        <x:v>33</x:v>
      </x:c>
      <x:c r="D290" s="3" t="str">
        <x:v>CAT, PDP</x:v>
      </x:c>
      <x:c r="E290" s="3" t="str">
        <x:v>Supporting source của module</x:v>
      </x:c>
      <x:c r="F290" s="3" t="str">
        <x:v>86d2e476541cbcaa4cbac282848e4363618cff8a7e1cdb0ab548b8a526d5897a</x:v>
      </x:c>
    </x:row>
    <x:row r="291" ht="36" customHeight="1">
      <x:c r="A291" s="3" t="str">
        <x:v>src/features/products/utils/map-product-view-model.ts</x:v>
      </x:c>
      <x:c r="B291" s="3" t="str">
        <x:v>source</x:v>
      </x:c>
      <x:c r="C291" s="3" t="n">
        <x:v>66</x:v>
      </x:c>
      <x:c r="D291" s="3" t="str">
        <x:v>CAT, PDP</x:v>
      </x:c>
      <x:c r="E291" s="3" t="str">
        <x:v>Supporting source của module</x:v>
      </x:c>
      <x:c r="F291" s="3" t="str">
        <x:v>b4c9e4415ce7aacc02ec0b6a3ff9a23cc7d882978f7ec9a4274b3a84d410bc0c</x:v>
      </x:c>
    </x:row>
    <x:row r="292" ht="36" customHeight="1">
      <x:c r="A292" s="3" t="str">
        <x:v>src/features/products/utils/map-public-product.test.ts</x:v>
      </x:c>
      <x:c r="B292" s="3" t="str">
        <x:v>test</x:v>
      </x:c>
      <x:c r="C292" s="3" t="n">
        <x:v>72</x:v>
      </x:c>
      <x:c r="D292" s="3" t="str">
        <x:v>CAT, PDP</x:v>
      </x:c>
      <x:c r="E292" s="3" t="str">
        <x:v>Supporting source của module</x:v>
      </x:c>
      <x:c r="F292" s="3" t="str">
        <x:v>75b47fa0b53b0d28cee0737d9d56097e97bab2c12c2b32054f21974c3b17af8c</x:v>
      </x:c>
    </x:row>
    <x:row r="293" ht="36" customHeight="1">
      <x:c r="A293" s="3" t="str">
        <x:v>src/features/products/utils/map-public-product.ts</x:v>
      </x:c>
      <x:c r="B293" s="3" t="str">
        <x:v>source</x:v>
      </x:c>
      <x:c r="C293" s="3" t="n">
        <x:v>106</x:v>
      </x:c>
      <x:c r="D293" s="3" t="str">
        <x:v>CAT, PDP</x:v>
      </x:c>
      <x:c r="E293" s="3" t="str">
        <x:v>Supporting source của module</x:v>
      </x:c>
      <x:c r="F293" s="3" t="str">
        <x:v>150da3b03a56db5cbaf2b2c603940be1a46843e94f9a053fabd1277d17da13fd</x:v>
      </x:c>
    </x:row>
    <x:row r="294" ht="36" customHeight="1">
      <x:c r="A294" s="3" t="str">
        <x:v>src/features/products/utils/product-cart.ts</x:v>
      </x:c>
      <x:c r="B294" s="3" t="str">
        <x:v>source</x:v>
      </x:c>
      <x:c r="C294" s="3" t="n">
        <x:v>18</x:v>
      </x:c>
      <x:c r="D294" s="3" t="str">
        <x:v>CAT, PDP</x:v>
      </x:c>
      <x:c r="E294" s="3" t="str">
        <x:v>PDP-011, PDP-012, PDP-013, PDP-016</x:v>
      </x:c>
      <x:c r="F294" s="3" t="str">
        <x:v>ca4e28a5c24894831997b7aed6685337f45dafaba4c588b0a5a0cbe8937506c7</x:v>
      </x:c>
    </x:row>
    <x:row r="295" ht="36" customHeight="1">
      <x:c r="A295" s="3" t="str">
        <x:v>src/features/products/utils/product-display.test.ts</x:v>
      </x:c>
      <x:c r="B295" s="3" t="str">
        <x:v>test</x:v>
      </x:c>
      <x:c r="C295" s="3" t="n">
        <x:v>52</x:v>
      </x:c>
      <x:c r="D295" s="3" t="str">
        <x:v>CAT, PDP</x:v>
      </x:c>
      <x:c r="E295" s="3" t="str">
        <x:v>Supporting source của module</x:v>
      </x:c>
      <x:c r="F295" s="3" t="str">
        <x:v>84e954240ebf93cc2d062eaf443455f6f76daf06dea7d833f1a427fc2ccaa557</x:v>
      </x:c>
    </x:row>
    <x:row r="296" ht="40" customHeight="1">
      <x:c r="A296" s="3" t="str">
        <x:v>src/features/products/utils/product-display.ts</x:v>
      </x:c>
      <x:c r="B296" s="3" t="str">
        <x:v>source</x:v>
      </x:c>
      <x:c r="C296" s="3" t="n">
        <x:v>115</x:v>
      </x:c>
      <x:c r="D296" s="3" t="str">
        <x:v>CAT, PDP</x:v>
      </x:c>
      <x:c r="E296" s="3" t="str">
        <x:v>PDP-003, PDP-004, PDP-005, PDP-006, PDP-007, PDP-008, PDP-009, PDP-017, PDP-018, PDP-019</x:v>
      </x:c>
      <x:c r="F296" s="3" t="str">
        <x:v>37fad504338d1062ea76d6f11b1adf59bfdceabcadce1a67191437cc820660ad</x:v>
      </x:c>
    </x:row>
    <x:row r="297" ht="36" customHeight="1">
      <x:c r="A297" s="3" t="str">
        <x:v>src/features/profile/api/profile-query-keys.ts</x:v>
      </x:c>
      <x:c r="B297" s="3" t="str">
        <x:v>source</x:v>
      </x:c>
      <x:c r="C297" s="3" t="n">
        <x:v>4</x:v>
      </x:c>
      <x:c r="D297" s="3" t="str">
        <x:v>PRO</x:v>
      </x:c>
      <x:c r="E297" s="3" t="str">
        <x:v>Supporting source của module</x:v>
      </x:c>
      <x:c r="F297" s="3" t="str">
        <x:v>8b32b9e799af15af026c4a98a9bb7d11631431e63760f780a5a68f91dbff9be0</x:v>
      </x:c>
    </x:row>
    <x:row r="298" ht="36" customHeight="1">
      <x:c r="A298" s="3" t="str">
        <x:v>src/features/profile/api/profile.service.test.ts</x:v>
      </x:c>
      <x:c r="B298" s="3" t="str">
        <x:v>test</x:v>
      </x:c>
      <x:c r="C298" s="3" t="n">
        <x:v>272</x:v>
      </x:c>
      <x:c r="D298" s="3" t="str">
        <x:v>PRO</x:v>
      </x:c>
      <x:c r="E298" s="3" t="str">
        <x:v>Supporting source của module</x:v>
      </x:c>
      <x:c r="F298" s="3" t="str">
        <x:v>70d3e54c45a3608d1c4877bec8068220e621b083048e7217fcf02f2a4a4ada44</x:v>
      </x:c>
    </x:row>
    <x:row r="299" ht="71" customHeight="1">
      <x:c r="A299" s="3" t="str">
        <x:v>src/features/profile/api/profile.service.ts</x:v>
      </x:c>
      <x:c r="B299" s="3" t="str">
        <x:v>source</x:v>
      </x:c>
      <x:c r="C299" s="3" t="n">
        <x:v>165</x:v>
      </x:c>
      <x:c r="D299" s="3" t="str">
        <x:v>PRO</x:v>
      </x:c>
      <x:c r="E299" s="3" t="str">
        <x:v>PRO-001, PRO-002, PRO-037, PRO-038, PRO-039, PRO-040, PRO-041, PRO-042, PRO-043, PRO-044, PRO-045, PRO-046, PRO-047, PRO-048, PRO-049, PRO-050, PRO-051, PRO-052, PRO-053</x:v>
      </x:c>
      <x:c r="F299" s="3" t="str">
        <x:v>73a65c5ac6ead4b316a45572b66437ad37b89a3797b8e3422ed475efe7351fd7</x:v>
      </x:c>
    </x:row>
    <x:row r="300" ht="36" customHeight="1">
      <x:c r="A300" s="3" t="str">
        <x:v>src/features/profile/api/use-change-password-mutation.ts</x:v>
      </x:c>
      <x:c r="B300" s="3" t="str">
        <x:v>source</x:v>
      </x:c>
      <x:c r="C300" s="3" t="n">
        <x:v>16</x:v>
      </x:c>
      <x:c r="D300" s="3" t="str">
        <x:v>PRO</x:v>
      </x:c>
      <x:c r="E300" s="3" t="str">
        <x:v>Supporting source của module</x:v>
      </x:c>
      <x:c r="F300" s="3" t="str">
        <x:v>2b75f255b6427aee327840b59352f1a0d49f4caa7c7d2c0477329fd375fe76ba</x:v>
      </x:c>
    </x:row>
    <x:row r="301" ht="36" customHeight="1">
      <x:c r="A301" s="3" t="str">
        <x:v>src/features/profile/api/use-current-user-query.ts</x:v>
      </x:c>
      <x:c r="B301" s="3" t="str">
        <x:v>source</x:v>
      </x:c>
      <x:c r="C301" s="3" t="n">
        <x:v>18</x:v>
      </x:c>
      <x:c r="D301" s="3" t="str">
        <x:v>PRO</x:v>
      </x:c>
      <x:c r="E301" s="3" t="str">
        <x:v>PRO-003</x:v>
      </x:c>
      <x:c r="F301" s="3" t="str">
        <x:v>bd26ca87eed0fc7953e40d0ef7bae44660799b48347cce30bef8ecfa75dba893</x:v>
      </x:c>
    </x:row>
    <x:row r="302" ht="36" customHeight="1">
      <x:c r="A302" s="3" t="str">
        <x:v>src/features/profile/api/use-update-avatar-mutation.ts</x:v>
      </x:c>
      <x:c r="B302" s="3" t="str">
        <x:v>source</x:v>
      </x:c>
      <x:c r="C302" s="3" t="n">
        <x:v>22</x:v>
      </x:c>
      <x:c r="D302" s="3" t="str">
        <x:v>PRO</x:v>
      </x:c>
      <x:c r="E302" s="3" t="str">
        <x:v>Supporting source của module</x:v>
      </x:c>
      <x:c r="F302" s="3" t="str">
        <x:v>ddd1ac80a9e6b46ce410e396040c947853210fddc72ac06d63a07662406b71c0</x:v>
      </x:c>
    </x:row>
    <x:row r="303" ht="36" customHeight="1">
      <x:c r="A303" s="3" t="str">
        <x:v>src/features/profile/api/use-update-profile-mutation.ts</x:v>
      </x:c>
      <x:c r="B303" s="3" t="str">
        <x:v>source</x:v>
      </x:c>
      <x:c r="C303" s="3" t="n">
        <x:v>21</x:v>
      </x:c>
      <x:c r="D303" s="3" t="str">
        <x:v>PRO</x:v>
      </x:c>
      <x:c r="E303" s="3" t="str">
        <x:v>Supporting source của module</x:v>
      </x:c>
      <x:c r="F303" s="3" t="str">
        <x:v>c9437a236d29531be38d2d086c04f28ad8c4a37ba31db2244bec51f2b8191d55</x:v>
      </x:c>
    </x:row>
    <x:row r="304" ht="36" customHeight="1">
      <x:c r="A304" s="3" t="str">
        <x:v>src/features/profile/components/account-error-state.tsx</x:v>
      </x:c>
      <x:c r="B304" s="3" t="str">
        <x:v>source</x:v>
      </x:c>
      <x:c r="C304" s="3" t="n">
        <x:v>32</x:v>
      </x:c>
      <x:c r="D304" s="3" t="str">
        <x:v>PRO</x:v>
      </x:c>
      <x:c r="E304" s="3" t="str">
        <x:v>Supporting source của module</x:v>
      </x:c>
      <x:c r="F304" s="3" t="str">
        <x:v>d6c389934fc3b9ef8066884b5b66e049950ff4a6d741851e8ae84675faa9a959</x:v>
      </x:c>
    </x:row>
    <x:row r="305" ht="36" customHeight="1">
      <x:c r="A305" s="3" t="str">
        <x:v>src/features/profile/components/account-loading-state.tsx</x:v>
      </x:c>
      <x:c r="B305" s="3" t="str">
        <x:v>source</x:v>
      </x:c>
      <x:c r="C305" s="3" t="n">
        <x:v>21</x:v>
      </x:c>
      <x:c r="D305" s="3" t="str">
        <x:v>PRO</x:v>
      </x:c>
      <x:c r="E305" s="3" t="str">
        <x:v>Supporting source của module</x:v>
      </x:c>
      <x:c r="F305" s="3" t="str">
        <x:v>f8c264cdb05a4898f378fb72bde306744f499f864380efb822e26f59766953c7</x:v>
      </x:c>
    </x:row>
    <x:row r="306" ht="36" customHeight="1">
      <x:c r="A306" s="3" t="str">
        <x:v>src/features/profile/components/dashboard-overview.tsx</x:v>
      </x:c>
      <x:c r="B306" s="3" t="str">
        <x:v>source</x:v>
      </x:c>
      <x:c r="C306" s="3" t="n">
        <x:v>70</x:v>
      </x:c>
      <x:c r="D306" s="3" t="str">
        <x:v>PRO</x:v>
      </x:c>
      <x:c r="E306" s="3" t="str">
        <x:v>PRO-054</x:v>
      </x:c>
      <x:c r="F306" s="3" t="str">
        <x:v>19dd28ca2415c064c23c9c50f857fa8135b82c5ea4b21497ba56561a72f53818</x:v>
      </x:c>
    </x:row>
    <x:row r="307" ht="40" customHeight="1">
      <x:c r="A307" s="3" t="str">
        <x:v>src/features/profile/components/profile-avatar-dialog.tsx</x:v>
      </x:c>
      <x:c r="B307" s="3" t="str">
        <x:v>source</x:v>
      </x:c>
      <x:c r="C307" s="3" t="n">
        <x:v>153</x:v>
      </x:c>
      <x:c r="D307" s="3" t="str">
        <x:v>PRO</x:v>
      </x:c>
      <x:c r="E307" s="3" t="str">
        <x:v>PRO-043, PRO-044, PRO-045, PRO-046, PRO-047, PRO-048, PRO-049, PRO-050, PRO-051, PRO-052, PRO-053</x:v>
      </x:c>
      <x:c r="F307" s="3" t="str">
        <x:v>4134ed04c36c7099b09d20c0faa2cdc11e41b1013eeb35a6d900b574c052e9d9</x:v>
      </x:c>
    </x:row>
    <x:row r="308" ht="36" customHeight="1">
      <x:c r="A308" s="3" t="str">
        <x:v>src/features/profile/components/profile-form.tsx</x:v>
      </x:c>
      <x:c r="B308" s="3" t="str">
        <x:v>source</x:v>
      </x:c>
      <x:c r="C308" s="3" t="n">
        <x:v>190</x:v>
      </x:c>
      <x:c r="D308" s="3" t="str">
        <x:v>PRO</x:v>
      </x:c>
      <x:c r="E308" s="3" t="str">
        <x:v>PRO-004, PRO-005, PRO-037, PRO-038</x:v>
      </x:c>
      <x:c r="F308" s="3" t="str">
        <x:v>aa57727614f2e503309ca48833af905a4babda46a01cf477b68276444ae4d614</x:v>
      </x:c>
    </x:row>
    <x:row r="309" ht="36" customHeight="1">
      <x:c r="A309" s="3" t="str">
        <x:v>src/features/profile/components/profile-info-panel.tsx</x:v>
      </x:c>
      <x:c r="B309" s="3" t="str">
        <x:v>source</x:v>
      </x:c>
      <x:c r="C309" s="3" t="n">
        <x:v>63</x:v>
      </x:c>
      <x:c r="D309" s="3" t="str">
        <x:v>PRO</x:v>
      </x:c>
      <x:c r="E309" s="3" t="str">
        <x:v>Supporting source của module</x:v>
      </x:c>
      <x:c r="F309" s="3" t="str">
        <x:v>699a62bf2150225bb68110f171a9fec7379fafa199759a8bcfb7187099796de3</x:v>
      </x:c>
    </x:row>
    <x:row r="310" ht="36" customHeight="1">
      <x:c r="A310" s="3" t="str">
        <x:v>src/features/profile/components/profile-screen.test.tsx</x:v>
      </x:c>
      <x:c r="B310" s="3" t="str">
        <x:v>test</x:v>
      </x:c>
      <x:c r="C310" s="3" t="n">
        <x:v>129</x:v>
      </x:c>
      <x:c r="D310" s="3" t="str">
        <x:v>PRO</x:v>
      </x:c>
      <x:c r="E310" s="3" t="str">
        <x:v>Supporting source của module</x:v>
      </x:c>
      <x:c r="F310" s="3" t="str">
        <x:v>7ff49e4f9dbcccd9e058b68de0809193f740145c319d7297703b7ce482c5e242</x:v>
      </x:c>
    </x:row>
    <x:row r="311" ht="36" customHeight="1">
      <x:c r="A311" s="3" t="str">
        <x:v>src/features/profile/components/profile-screen.tsx</x:v>
      </x:c>
      <x:c r="B311" s="3" t="str">
        <x:v>source</x:v>
      </x:c>
      <x:c r="C311" s="3" t="n">
        <x:v>67</x:v>
      </x:c>
      <x:c r="D311" s="3" t="str">
        <x:v>PRO</x:v>
      </x:c>
      <x:c r="E311" s="3" t="str">
        <x:v>PRO-003, PRO-004, PRO-005</x:v>
      </x:c>
      <x:c r="F311" s="3" t="str">
        <x:v>a35289bdf0f6ea33b1afb505fff970148380ee2c0eedaf1e21b9ba2fdc28fd43</x:v>
      </x:c>
    </x:row>
    <x:row r="312" ht="36" customHeight="1">
      <x:c r="A312" s="3" t="str">
        <x:v>src/features/profile/components/profile-security-card.tsx</x:v>
      </x:c>
      <x:c r="B312" s="3" t="str">
        <x:v>source</x:v>
      </x:c>
      <x:c r="C312" s="3" t="n">
        <x:v>140</x:v>
      </x:c>
      <x:c r="D312" s="3" t="str">
        <x:v>PRO</x:v>
      </x:c>
      <x:c r="E312" s="3" t="str">
        <x:v>PRO-004, PRO-005, PRO-039, PRO-040, PRO-041, PRO-042</x:v>
      </x:c>
      <x:c r="F312" s="3" t="str">
        <x:v>10856dc218a5db08032f979351312504d557930e8e175575665937705f9a323e</x:v>
      </x:c>
    </x:row>
    <x:row r="313" ht="36" customHeight="1">
      <x:c r="A313" s="3" t="str">
        <x:v>src/features/profile/components/profile-sidebar.tsx</x:v>
      </x:c>
      <x:c r="B313" s="3" t="str">
        <x:v>source</x:v>
      </x:c>
      <x:c r="C313" s="3" t="n">
        <x:v>52</x:v>
      </x:c>
      <x:c r="D313" s="3" t="str">
        <x:v>PRO</x:v>
      </x:c>
      <x:c r="E313" s="3" t="str">
        <x:v>Supporting source của module</x:v>
      </x:c>
      <x:c r="F313" s="3" t="str">
        <x:v>5edaa3ccc15a9da9d8e5c288213439681f9d2d7ccf5b20e2ac603a8b0c98aec4</x:v>
      </x:c>
    </x:row>
    <x:row r="314" ht="36" customHeight="1">
      <x:c r="A314" s="3" t="str">
        <x:v>src/features/profile/index.ts</x:v>
      </x:c>
      <x:c r="B314" s="3" t="str">
        <x:v>source</x:v>
      </x:c>
      <x:c r="C314" s="3" t="n">
        <x:v>5</x:v>
      </x:c>
      <x:c r="D314" s="3" t="str">
        <x:v>PRO</x:v>
      </x:c>
      <x:c r="E314" s="3" t="str">
        <x:v>Supporting source của module</x:v>
      </x:c>
      <x:c r="F314" s="3" t="str">
        <x:v>212b0acab19e510970a0ac0d8f8fd6994155b3b166af4f33d3baef8b3915f335</x:v>
      </x:c>
    </x:row>
    <x:row r="315" ht="36" customHeight="1">
      <x:c r="A315" s="3" t="str">
        <x:v>src/features/profile/schemas/profile-form.schema.test.ts</x:v>
      </x:c>
      <x:c r="B315" s="3" t="str">
        <x:v>test</x:v>
      </x:c>
      <x:c r="C315" s="3" t="n">
        <x:v>53</x:v>
      </x:c>
      <x:c r="D315" s="3" t="str">
        <x:v>PRO</x:v>
      </x:c>
      <x:c r="E315" s="3" t="str">
        <x:v>Supporting source của module</x:v>
      </x:c>
      <x:c r="F315" s="3" t="str">
        <x:v>c15b8d5964a5b76022da1c25a484b12205098a516c6c51e10dd0480c5942cdff</x:v>
      </x:c>
    </x:row>
    <x:row r="316" ht="117.5" customHeight="1">
      <x:c r="A316" s="3" t="str">
        <x:v>src/features/profile/schemas/profile-form.schema.ts</x:v>
      </x:c>
      <x:c r="B316" s="3" t="str">
        <x:v>source</x:v>
      </x:c>
      <x:c r="C316" s="3" t="n">
        <x:v>40</x:v>
      </x:c>
      <x:c r="D316" s="3" t="str">
        <x:v>PRO</x:v>
      </x:c>
      <x:c r="E316" s="3" t="str">
        <x:v>PRO-006, PRO-007, PRO-008, PRO-009, PRO-010, PRO-011, PRO-012, PRO-013, PRO-014, PRO-015, PRO-016, PRO-017, PRO-018, PRO-019, PRO-020, PRO-021, PRO-022, PRO-023, PRO-024, PRO-025, PRO-026, PRO-027, PRO-028, PRO-029, PRO-030, PRO-031, PRO-032, PRO-033, PRO-034, PRO-035, PRO-036, PRO-037, PRO-038, PRO-039, PRO-040, PRO-041, PRO-042</x:v>
      </x:c>
      <x:c r="F316" s="3" t="str">
        <x:v>a5683f9012ecb23bf45e7c170e47a721455e150cf7bb6247a1f999ce9d43f43e</x:v>
      </x:c>
    </x:row>
    <x:row r="317" ht="36" customHeight="1">
      <x:c r="A317" s="3" t="str">
        <x:v>src/features/profile/schemas/profile-response.schema.ts</x:v>
      </x:c>
      <x:c r="B317" s="3" t="str">
        <x:v>source</x:v>
      </x:c>
      <x:c r="C317" s="3" t="n">
        <x:v>46</x:v>
      </x:c>
      <x:c r="D317" s="3" t="str">
        <x:v>PRO</x:v>
      </x:c>
      <x:c r="E317" s="3" t="str">
        <x:v>PRO-001, PRO-002</x:v>
      </x:c>
      <x:c r="F317" s="3" t="str">
        <x:v>578993902e15e7187ace45c0ad54de16fb9633bd33f32d368706c87f51de36a9</x:v>
      </x:c>
    </x:row>
    <x:row r="318" ht="36" customHeight="1">
      <x:c r="A318" s="3" t="str">
        <x:v>src/features/profile/schemas/user.schema.ts</x:v>
      </x:c>
      <x:c r="B318" s="3" t="str">
        <x:v>source</x:v>
      </x:c>
      <x:c r="C318" s="3" t="n">
        <x:v>30</x:v>
      </x:c>
      <x:c r="D318" s="3" t="str">
        <x:v>PRO</x:v>
      </x:c>
      <x:c r="E318" s="3" t="str">
        <x:v>Supporting source của module</x:v>
      </x:c>
      <x:c r="F318" s="3" t="str">
        <x:v>250629f268c00910a85f355804a9fc1d8f4dcac548c2dee8ec1d809ad31dc654</x:v>
      </x:c>
    </x:row>
    <x:row r="319" ht="36" customHeight="1">
      <x:c r="A319" s="3" t="str">
        <x:v>src/features/rfqs/api/rfq-query-keys.ts</x:v>
      </x:c>
      <x:c r="B319" s="3" t="str">
        <x:v>source</x:v>
      </x:c>
      <x:c r="C319" s="3" t="n">
        <x:v>7</x:v>
      </x:c>
      <x:c r="D319" s="3" t="str">
        <x:v>RFQ</x:v>
      </x:c>
      <x:c r="E319" s="3" t="str">
        <x:v>Supporting source của module</x:v>
      </x:c>
      <x:c r="F319" s="3" t="str">
        <x:v>e8f33bbc5ddf52d30e1e8c41fc039d89f0d8a77ed6fd37e96f55002988ee566e</x:v>
      </x:c>
    </x:row>
    <x:row r="320" ht="36" customHeight="1">
      <x:c r="A320" s="3" t="str">
        <x:v>src/features/rfqs/api/rfqs.service.test.ts</x:v>
      </x:c>
      <x:c r="B320" s="3" t="str">
        <x:v>test</x:v>
      </x:c>
      <x:c r="C320" s="3" t="n">
        <x:v>65</x:v>
      </x:c>
      <x:c r="D320" s="3" t="str">
        <x:v>RFQ</x:v>
      </x:c>
      <x:c r="E320" s="3" t="str">
        <x:v>Supporting source của module</x:v>
      </x:c>
      <x:c r="F320" s="3" t="str">
        <x:v>93f0a4ed6564c192812ed6f31e680c7f529394b95d7c23480e17680dfc826fea</x:v>
      </x:c>
    </x:row>
    <x:row r="321" ht="55.5" customHeight="1">
      <x:c r="A321" s="3" t="str">
        <x:v>src/features/rfqs/api/rfqs.service.ts</x:v>
      </x:c>
      <x:c r="B321" s="3" t="str">
        <x:v>source</x:v>
      </x:c>
      <x:c r="C321" s="3" t="n">
        <x:v>31</x:v>
      </x:c>
      <x:c r="D321" s="3" t="str">
        <x:v>RFQ</x:v>
      </x:c>
      <x:c r="E321" s="3" t="str">
        <x:v>RFQ-001, RFQ-002, RFQ-003, RFQ-004, RFQ-005, RFQ-006, RFQ-007, RFQ-008, RFQ-009, RFQ-010, RFQ-011, RFQ-012, RFQ-013, RFQ-014</x:v>
      </x:c>
      <x:c r="F321" s="3" t="str">
        <x:v>f915cbccb23f813cc47e45121c15831acadbd18a20bfbdb40d394855265785d3</x:v>
      </x:c>
    </x:row>
    <x:row r="322" ht="36" customHeight="1">
      <x:c r="A322" s="3" t="str">
        <x:v>src/features/rfqs/api/use-rfq-detail-query.ts</x:v>
      </x:c>
      <x:c r="B322" s="3" t="str">
        <x:v>source</x:v>
      </x:c>
      <x:c r="C322" s="3" t="n">
        <x:v>12</x:v>
      </x:c>
      <x:c r="D322" s="3" t="str">
        <x:v>RFQ</x:v>
      </x:c>
      <x:c r="E322" s="3" t="str">
        <x:v>Supporting source của module</x:v>
      </x:c>
      <x:c r="F322" s="3" t="str">
        <x:v>718346a43bbd87c0e40e318dab1f21a1fde6750965181c6d446c14d7764755ac</x:v>
      </x:c>
    </x:row>
    <x:row r="323" ht="55.5" customHeight="1">
      <x:c r="A323" s="3" t="str">
        <x:v>src/features/rfqs/api/use-rfqs-query.ts</x:v>
      </x:c>
      <x:c r="B323" s="3" t="str">
        <x:v>source</x:v>
      </x:c>
      <x:c r="C323" s="3" t="n">
        <x:v>14</x:v>
      </x:c>
      <x:c r="D323" s="3" t="str">
        <x:v>RFQ</x:v>
      </x:c>
      <x:c r="E323" s="3" t="str">
        <x:v>RFQ-001, RFQ-002, RFQ-003, RFQ-004, RFQ-005, RFQ-006, RFQ-007, RFQ-008, RFQ-009, RFQ-010, RFQ-011, RFQ-012, RFQ-013, RFQ-014</x:v>
      </x:c>
      <x:c r="F323" s="3" t="str">
        <x:v>f05cdb4c08405d77eb42cc5f7a090dc2480e3dfd97dd05fedcf7ae3881cdfd05</x:v>
      </x:c>
    </x:row>
    <x:row r="324" ht="36" customHeight="1">
      <x:c r="A324" s="3" t="str">
        <x:v>src/features/rfqs/components/rfq-detail-screen.tsx</x:v>
      </x:c>
      <x:c r="B324" s="3" t="str">
        <x:v>source</x:v>
      </x:c>
      <x:c r="C324" s="3" t="n">
        <x:v>98</x:v>
      </x:c>
      <x:c r="D324" s="3" t="str">
        <x:v>RFQ</x:v>
      </x:c>
      <x:c r="E324" s="3" t="str">
        <x:v>Supporting source của module</x:v>
      </x:c>
      <x:c r="F324" s="3" t="str">
        <x:v>13b18d4d1d1a94ddafedcfa8f1a02ddd7a5347cca7e6aee0c175b10020deb39d</x:v>
      </x:c>
    </x:row>
    <x:row r="325" ht="36" customHeight="1">
      <x:c r="A325" s="3" t="str">
        <x:v>src/features/rfqs/components/rfq-items-card.tsx</x:v>
      </x:c>
      <x:c r="B325" s="3" t="str">
        <x:v>source</x:v>
      </x:c>
      <x:c r="C325" s="3" t="n">
        <x:v>73</x:v>
      </x:c>
      <x:c r="D325" s="3" t="str">
        <x:v>RFQ</x:v>
      </x:c>
      <x:c r="E325" s="3" t="str">
        <x:v>Supporting source của module</x:v>
      </x:c>
      <x:c r="F325" s="3" t="str">
        <x:v>a180b56c6b15c80eb11987f97a8a54d0bdeab2d3db308508597dd162285359ea</x:v>
      </x:c>
    </x:row>
    <x:row r="326" ht="36" customHeight="1">
      <x:c r="A326" s="3" t="str">
        <x:v>src/features/rfqs/components/rfq-status-badge.tsx</x:v>
      </x:c>
      <x:c r="B326" s="3" t="str">
        <x:v>source</x:v>
      </x:c>
      <x:c r="C326" s="3" t="n">
        <x:v>42</x:v>
      </x:c>
      <x:c r="D326" s="3" t="str">
        <x:v>RFQ</x:v>
      </x:c>
      <x:c r="E326" s="3" t="str">
        <x:v>Supporting source của module</x:v>
      </x:c>
      <x:c r="F326" s="3" t="str">
        <x:v>a7c26683c6c0df8303d5ff35750987de0e129e4b1771c218ebc43803226bef5a</x:v>
      </x:c>
    </x:row>
    <x:row r="327" ht="36" customHeight="1">
      <x:c r="A327" s="3" t="str">
        <x:v>src/features/rfqs/components/rfqs-empty-state.tsx</x:v>
      </x:c>
      <x:c r="B327" s="3" t="str">
        <x:v>source</x:v>
      </x:c>
      <x:c r="C327" s="3" t="n">
        <x:v>13</x:v>
      </x:c>
      <x:c r="D327" s="3" t="str">
        <x:v>RFQ</x:v>
      </x:c>
      <x:c r="E327" s="3" t="str">
        <x:v>Supporting source của module</x:v>
      </x:c>
      <x:c r="F327" s="3" t="str">
        <x:v>ef75d2169dc90e047e731c7fc4df160fdd34e66cdbab9f74eaa5f7c2a3d3f93a</x:v>
      </x:c>
    </x:row>
    <x:row r="328" ht="55.5" customHeight="1">
      <x:c r="A328" s="3" t="str">
        <x:v>src/features/rfqs/components/rfqs-screen.tsx</x:v>
      </x:c>
      <x:c r="B328" s="3" t="str">
        <x:v>source</x:v>
      </x:c>
      <x:c r="C328" s="3" t="n">
        <x:v>73</x:v>
      </x:c>
      <x:c r="D328" s="3" t="str">
        <x:v>RFQ</x:v>
      </x:c>
      <x:c r="E328" s="3" t="str">
        <x:v>RFQ-001, RFQ-002, RFQ-003, RFQ-004, RFQ-005, RFQ-006, RFQ-007, RFQ-008, RFQ-009, RFQ-010, RFQ-011, RFQ-012, RFQ-013, RFQ-014</x:v>
      </x:c>
      <x:c r="F328" s="3" t="str">
        <x:v>6723725b626c59fe271b7cab60655b8c304a6207dd418bc00a4526705688854f</x:v>
      </x:c>
    </x:row>
    <x:row r="329" ht="36" customHeight="1">
      <x:c r="A329" s="3" t="str">
        <x:v>src/features/rfqs/components/rfqs-summary.tsx</x:v>
      </x:c>
      <x:c r="B329" s="3" t="str">
        <x:v>source</x:v>
      </x:c>
      <x:c r="C329" s="3" t="n">
        <x:v>11</x:v>
      </x:c>
      <x:c r="D329" s="3" t="str">
        <x:v>RFQ</x:v>
      </x:c>
      <x:c r="E329" s="3" t="str">
        <x:v>Supporting source của module</x:v>
      </x:c>
      <x:c r="F329" s="3" t="str">
        <x:v>0fff0098b762f3dd51105c30522e78c91731a3dc7d63a029a5674aa504bb296e</x:v>
      </x:c>
    </x:row>
    <x:row r="330" ht="36" customHeight="1">
      <x:c r="A330" s="3" t="str">
        <x:v>src/features/rfqs/components/rfqs-table.test.tsx</x:v>
      </x:c>
      <x:c r="B330" s="3" t="str">
        <x:v>test</x:v>
      </x:c>
      <x:c r="C330" s="3" t="n">
        <x:v>44</x:v>
      </x:c>
      <x:c r="D330" s="3" t="str">
        <x:v>RFQ</x:v>
      </x:c>
      <x:c r="E330" s="3" t="str">
        <x:v>Supporting source của module</x:v>
      </x:c>
      <x:c r="F330" s="3" t="str">
        <x:v>4cf378b1cf0eb8eaaa04a0586b60ff86007fb0a6784765c1e42497955c50e096</x:v>
      </x:c>
    </x:row>
    <x:row r="331" ht="36" customHeight="1">
      <x:c r="A331" s="3" t="str">
        <x:v>src/features/rfqs/components/rfqs-table.tsx</x:v>
      </x:c>
      <x:c r="B331" s="3" t="str">
        <x:v>source</x:v>
      </x:c>
      <x:c r="C331" s="3" t="n">
        <x:v>137</x:v>
      </x:c>
      <x:c r="D331" s="3" t="str">
        <x:v>RFQ</x:v>
      </x:c>
      <x:c r="E331" s="3" t="str">
        <x:v>Supporting source của module</x:v>
      </x:c>
      <x:c r="F331" s="3" t="str">
        <x:v>3faec3f82cf414d18c50fd987ba29dd7e065a07f4c9466b0270e75aad21da954</x:v>
      </x:c>
    </x:row>
    <x:row r="332" ht="36" customHeight="1">
      <x:c r="A332" s="3" t="str">
        <x:v>src/features/rfqs/index.ts</x:v>
      </x:c>
      <x:c r="B332" s="3" t="str">
        <x:v>source</x:v>
      </x:c>
      <x:c r="C332" s="3" t="n">
        <x:v>2</x:v>
      </x:c>
      <x:c r="D332" s="3" t="str">
        <x:v>RFQ</x:v>
      </x:c>
      <x:c r="E332" s="3" t="str">
        <x:v>Supporting source của module</x:v>
      </x:c>
      <x:c r="F332" s="3" t="str">
        <x:v>5f4c80debf659449ce79d61febb3f45fabfd3a6e40baf36e467619541b174212</x:v>
      </x:c>
    </x:row>
    <x:row r="333" ht="36" customHeight="1">
      <x:c r="A333" s="3" t="str">
        <x:v>src/features/rfqs/schemas/rfq.schema.ts</x:v>
      </x:c>
      <x:c r="B333" s="3" t="str">
        <x:v>source</x:v>
      </x:c>
      <x:c r="C333" s="3" t="n">
        <x:v>51</x:v>
      </x:c>
      <x:c r="D333" s="3" t="str">
        <x:v>RFQ</x:v>
      </x:c>
      <x:c r="E333" s="3" t="str">
        <x:v>Supporting source của module</x:v>
      </x:c>
      <x:c r="F333" s="3" t="str">
        <x:v>7652c1fbfe84af98e3a52a8cc8990c5ab78d3b60a156913dc759c5fb2fae15d7</x:v>
      </x:c>
    </x:row>
    <x:row r="334" ht="36" customHeight="1">
      <x:c r="A334" s="3" t="str">
        <x:v>src/features/rfqs/utils/rfq-formatters.ts</x:v>
      </x:c>
      <x:c r="B334" s="3" t="str">
        <x:v>source</x:v>
      </x:c>
      <x:c r="C334" s="3" t="n">
        <x:v>15</x:v>
      </x:c>
      <x:c r="D334" s="3" t="str">
        <x:v>RFQ</x:v>
      </x:c>
      <x:c r="E334" s="3" t="str">
        <x:v>Supporting source của module</x:v>
      </x:c>
      <x:c r="F334" s="3" t="str">
        <x:v>3d0b2946ca4f1d3e55a9876949c067b4b0159c6b932614c93e8c968d3320f3ef</x:v>
      </x:c>
    </x:row>
    <x:row r="335" ht="36" customHeight="1">
      <x:c r="A335" s="3" t="str">
        <x:v>src/i18n/locale.test.ts</x:v>
      </x:c>
      <x:c r="B335" s="3" t="str">
        <x:v>test</x:v>
      </x:c>
      <x:c r="C335" s="3" t="n">
        <x:v>33</x:v>
      </x:c>
      <x:c r="D335" s="3" t="str">
        <x:v>LOC</x:v>
      </x:c>
      <x:c r="E335" s="3" t="str">
        <x:v>Supporting source của module</x:v>
      </x:c>
      <x:c r="F335" s="3" t="str">
        <x:v>a02e5156d519bc3b47b896cb499fc557350402b15e4ac436c86a9d5803aacade</x:v>
      </x:c>
    </x:row>
    <x:row r="336" ht="40" customHeight="1">
      <x:c r="A336" s="3" t="str">
        <x:v>src/i18n/locale.ts</x:v>
      </x:c>
      <x:c r="B336" s="3" t="str">
        <x:v>source</x:v>
      </x:c>
      <x:c r="C336" s="3" t="n">
        <x:v>28</x:v>
      </x:c>
      <x:c r="D336" s="3" t="str">
        <x:v>LOC</x:v>
      </x:c>
      <x:c r="E336" s="3" t="str">
        <x:v>LOC-001, LOC-002, LOC-003, LOC-004, LOC-005, LOC-006, LOC-007, LOC-008</x:v>
      </x:c>
      <x:c r="F336" s="3" t="str">
        <x:v>d2db3237f51ecbf814d2058062747d088968110b6afe026b65fde991329e3d7f</x:v>
      </x:c>
    </x:row>
    <x:row r="337" ht="36" customHeight="1">
      <x:c r="A337" s="3" t="str">
        <x:v>src/i18n/messages.test.ts</x:v>
      </x:c>
      <x:c r="B337" s="3" t="str">
        <x:v>test</x:v>
      </x:c>
      <x:c r="C337" s="3" t="n">
        <x:v>17</x:v>
      </x:c>
      <x:c r="D337" s="3" t="str">
        <x:v>LOC</x:v>
      </x:c>
      <x:c r="E337" s="3" t="str">
        <x:v>Supporting source của module</x:v>
      </x:c>
      <x:c r="F337" s="3" t="str">
        <x:v>631bd0c024132b09403a02d8fef1dd735c2bec28c3e0b4874f65f20f7474334b</x:v>
      </x:c>
    </x:row>
    <x:row r="338" ht="36" customHeight="1">
      <x:c r="A338" s="3" t="str">
        <x:v>src/i18n/navigation.ts</x:v>
      </x:c>
      <x:c r="B338" s="3" t="str">
        <x:v>source</x:v>
      </x:c>
      <x:c r="C338" s="3" t="n">
        <x:v>5</x:v>
      </x:c>
      <x:c r="D338" s="3" t="str">
        <x:v>LOC</x:v>
      </x:c>
      <x:c r="E338" s="3" t="str">
        <x:v>Supporting source của module</x:v>
      </x:c>
      <x:c r="F338" s="3" t="str">
        <x:v>8f2866ad99b6c56a6b5a30fdbef00898775d0638437d92711cc6862bdbde19c2</x:v>
      </x:c>
    </x:row>
    <x:row r="339" ht="36" customHeight="1">
      <x:c r="A339" s="3" t="str">
        <x:v>src/i18n/next-intl.d.ts</x:v>
      </x:c>
      <x:c r="B339" s="3" t="str">
        <x:v>source</x:v>
      </x:c>
      <x:c r="C339" s="3" t="n">
        <x:v>10</x:v>
      </x:c>
      <x:c r="D339" s="3" t="str">
        <x:v>LOC</x:v>
      </x:c>
      <x:c r="E339" s="3" t="str">
        <x:v>Supporting source của module</x:v>
      </x:c>
      <x:c r="F339" s="3" t="str">
        <x:v>7b3429193270717a9d496f810c5a7eb101a4cea65b33a29ce3a12f2d4c5e46ca</x:v>
      </x:c>
    </x:row>
    <x:row r="340" ht="36" customHeight="1">
      <x:c r="A340" s="3" t="str">
        <x:v>src/i18n/request.ts</x:v>
      </x:c>
      <x:c r="B340" s="3" t="str">
        <x:v>source</x:v>
      </x:c>
      <x:c r="C340" s="3" t="n">
        <x:v>14</x:v>
      </x:c>
      <x:c r="D340" s="3" t="str">
        <x:v>LOC</x:v>
      </x:c>
      <x:c r="E340" s="3" t="str">
        <x:v>Supporting source của module</x:v>
      </x:c>
      <x:c r="F340" s="3" t="str">
        <x:v>0fd61bd560b5736877dc0a5a4e8aa75efdc2e48d8e76feac7b8b73d6c9b29e07</x:v>
      </x:c>
    </x:row>
    <x:row r="341" ht="40" customHeight="1">
      <x:c r="A341" s="3" t="str">
        <x:v>src/i18n/routing.ts</x:v>
      </x:c>
      <x:c r="B341" s="3" t="str">
        <x:v>source</x:v>
      </x:c>
      <x:c r="C341" s="3" t="n">
        <x:v>13</x:v>
      </x:c>
      <x:c r="D341" s="3" t="str">
        <x:v>LOC</x:v>
      </x:c>
      <x:c r="E341" s="3" t="str">
        <x:v>LOC-001, LOC-002, LOC-003, LOC-004, LOC-005, LOC-006, LOC-007, LOC-008</x:v>
      </x:c>
      <x:c r="F341" s="3" t="str">
        <x:v>944367d7b82411d383680318a2c6ff4e21abe3b7a78a43c30ecf516749cfa8c9</x:v>
      </x:c>
    </x:row>
    <x:row r="342" ht="36" customHeight="1">
      <x:c r="A342" s="3" t="str">
        <x:v>src/lib/api-error.test.ts</x:v>
      </x:c>
      <x:c r="B342" s="3" t="str">
        <x:v>test</x:v>
      </x:c>
      <x:c r="C342" s="3" t="n">
        <x:v>18</x:v>
      </x:c>
      <x:c r="D342" s="3" t="str">
        <x:v>SYS</x:v>
      </x:c>
      <x:c r="E342" s="3" t="str">
        <x:v>Supporting source của module</x:v>
      </x:c>
      <x:c r="F342" s="3" t="str">
        <x:v>fa95d7aaf791336a5e08b493db844dd4fd172f0a611e5453293a95b26460afcb</x:v>
      </x:c>
    </x:row>
    <x:row r="343" ht="36" customHeight="1">
      <x:c r="A343" s="3" t="str">
        <x:v>src/lib/api-error.ts</x:v>
      </x:c>
      <x:c r="B343" s="3" t="str">
        <x:v>source</x:v>
      </x:c>
      <x:c r="C343" s="3" t="n">
        <x:v>43</x:v>
      </x:c>
      <x:c r="D343" s="3" t="str">
        <x:v>SYS</x:v>
      </x:c>
      <x:c r="E343" s="3" t="str">
        <x:v>SYS-018, SYS-019</x:v>
      </x:c>
      <x:c r="F343" s="3" t="str">
        <x:v>667eaa92a87e42c8a47562d9a9a132cc35a9567ce2782cc5eccc7e4782629d22</x:v>
      </x:c>
    </x:row>
    <x:row r="344" ht="36" customHeight="1">
      <x:c r="A344" s="3" t="str">
        <x:v>src/lib/auth-cookie-names.ts</x:v>
      </x:c>
      <x:c r="B344" s="3" t="str">
        <x:v>source</x:v>
      </x:c>
      <x:c r="C344" s="3" t="n">
        <x:v>6</x:v>
      </x:c>
      <x:c r="D344" s="3" t="str">
        <x:v>SYS</x:v>
      </x:c>
      <x:c r="E344" s="3" t="str">
        <x:v>Supporting source của module</x:v>
      </x:c>
      <x:c r="F344" s="3" t="str">
        <x:v>2da0876565af5d281b3beece78a643874733b2094800e30607a3d8488215201d</x:v>
      </x:c>
    </x:row>
    <x:row r="345" ht="36" customHeight="1">
      <x:c r="A345" s="3" t="str">
        <x:v>src/lib/auth-token-store.test.ts</x:v>
      </x:c>
      <x:c r="B345" s="3" t="str">
        <x:v>test</x:v>
      </x:c>
      <x:c r="C345" s="3" t="n">
        <x:v>58</x:v>
      </x:c>
      <x:c r="D345" s="3" t="str">
        <x:v>SYS</x:v>
      </x:c>
      <x:c r="E345" s="3" t="str">
        <x:v>Supporting source của module</x:v>
      </x:c>
      <x:c r="F345" s="3" t="str">
        <x:v>61d028e905f47dd52fabf64e1e95fb09d7592ea1d185b66e2e14870a087bbc79</x:v>
      </x:c>
    </x:row>
    <x:row r="346" ht="40" customHeight="1">
      <x:c r="A346" s="3" t="str">
        <x:v>src/lib/auth-token-store.ts</x:v>
      </x:c>
      <x:c r="B346" s="3" t="str">
        <x:v>source</x:v>
      </x:c>
      <x:c r="C346" s="3" t="n">
        <x:v>118</x:v>
      </x:c>
      <x:c r="D346" s="3" t="str">
        <x:v>SYS</x:v>
      </x:c>
      <x:c r="E346" s="3" t="str">
        <x:v>SYS-002, SYS-003, SYS-004, SYS-005, SYS-007, SYS-008, SYS-009, SYS-010, SYS-011</x:v>
      </x:c>
      <x:c r="F346" s="3" t="str">
        <x:v>64ed2b96dab636dbd2281f946aa39ca61fdc1d73ef55c19aae9710a01695ffd0</x:v>
      </x:c>
    </x:row>
    <x:row r="347" ht="36" customHeight="1">
      <x:c r="A347" s="3" t="str">
        <x:v>src/lib/class-names.ts</x:v>
      </x:c>
      <x:c r="B347" s="3" t="str">
        <x:v>source</x:v>
      </x:c>
      <x:c r="C347" s="3" t="n">
        <x:v>6</x:v>
      </x:c>
      <x:c r="D347" s="3" t="str">
        <x:v>SYS</x:v>
      </x:c>
      <x:c r="E347" s="3" t="str">
        <x:v>Supporting source của module</x:v>
      </x:c>
      <x:c r="F347" s="3" t="str">
        <x:v>53f3d3d070f0a9082934da25b875f9499855c2b0693868dd28be8c23d8730f68</x:v>
      </x:c>
    </x:row>
    <x:row r="348" ht="36" customHeight="1">
      <x:c r="A348" s="3" t="str">
        <x:v>src/lib/http-client.test.ts</x:v>
      </x:c>
      <x:c r="B348" s="3" t="str">
        <x:v>test</x:v>
      </x:c>
      <x:c r="C348" s="3" t="n">
        <x:v>110</x:v>
      </x:c>
      <x:c r="D348" s="3" t="str">
        <x:v>SYS</x:v>
      </x:c>
      <x:c r="E348" s="3" t="str">
        <x:v>Supporting source của module</x:v>
      </x:c>
      <x:c r="F348" s="3" t="str">
        <x:v>b6fa6c5cd5ec9d4f991378b058ecdefb7fab48127e0008e19336775c882f491a</x:v>
      </x:c>
    </x:row>
    <x:row r="349" ht="40" customHeight="1">
      <x:c r="A349" s="3" t="str">
        <x:v>src/lib/http-client.ts</x:v>
      </x:c>
      <x:c r="B349" s="3" t="str">
        <x:v>source</x:v>
      </x:c>
      <x:c r="C349" s="3" t="n">
        <x:v>80</x:v>
      </x:c>
      <x:c r="D349" s="3" t="str">
        <x:v>SYS</x:v>
      </x:c>
      <x:c r="E349" s="3" t="str">
        <x:v>SYS-001, SYS-002, SYS-003, SYS-004, SYS-005, SYS-006, SYS-016, SYS-017</x:v>
      </x:c>
      <x:c r="F349" s="3" t="str">
        <x:v>99dc3bfad206704da77d95a4d7650e78e8ae62a1ba4dd3d07b97bd9061704be7</x:v>
      </x:c>
    </x:row>
    <x:row r="350" ht="36" customHeight="1">
      <x:c r="A350" s="3" t="str">
        <x:v>src/lib/server-api-request.test.ts</x:v>
      </x:c>
      <x:c r="B350" s="3" t="str">
        <x:v>test</x:v>
      </x:c>
      <x:c r="C350" s="3" t="n">
        <x:v>42</x:v>
      </x:c>
      <x:c r="D350" s="3" t="str">
        <x:v>SYS</x:v>
      </x:c>
      <x:c r="E350" s="3" t="str">
        <x:v>Supporting source của module</x:v>
      </x:c>
      <x:c r="F350" s="3" t="str">
        <x:v>0a22f3fa5a21dba131ff9ffa314de4cc9e87766522e36061bdf94e9c91d04bd2</x:v>
      </x:c>
    </x:row>
    <x:row r="351" ht="40" customHeight="1">
      <x:c r="A351" s="3" t="str">
        <x:v>src/lib/server-api-request.ts</x:v>
      </x:c>
      <x:c r="B351" s="3" t="str">
        <x:v>source</x:v>
      </x:c>
      <x:c r="C351" s="3" t="n">
        <x:v>46</x:v>
      </x:c>
      <x:c r="D351" s="3" t="str">
        <x:v>SYS</x:v>
      </x:c>
      <x:c r="E351" s="3" t="str">
        <x:v>SYS-007, SYS-008, SYS-009, SYS-010, SYS-011, SYS-012, SYS-013, SYS-014, SYS-015, SYS-023, SYS-024</x:v>
      </x:c>
      <x:c r="F351" s="3" t="str">
        <x:v>3a7e225b72aec88cf3ae27cf3c18d6c5cf917a772a3ce2c7a380d317df497ee2</x:v>
      </x:c>
    </x:row>
    <x:row r="352" ht="40" customHeight="1">
      <x:c r="A352" s="3" t="str">
        <x:v>src/middleware.ts</x:v>
      </x:c>
      <x:c r="B352" s="3" t="str">
        <x:v>source</x:v>
      </x:c>
      <x:c r="C352" s="3" t="n">
        <x:v>9</x:v>
      </x:c>
      <x:c r="D352" s="3" t="str">
        <x:v>SYS</x:v>
      </x:c>
      <x:c r="E352" s="3" t="str">
        <x:v>LOC-001, LOC-002, LOC-003, LOC-004, LOC-005, LOC-006, LOC-007, LOC-008</x:v>
      </x:c>
      <x:c r="F352" s="3" t="str">
        <x:v>79a6265fe3b77dbb7140bade1c57c6740792324aaf8df3f79e82dcde178ac6ac</x:v>
      </x:c>
    </x:row>
    <x:row r="353" ht="40" customHeight="1">
      <x:c r="A353" s="3" t="str">
        <x:v>src/providers/app-providers.tsx</x:v>
      </x:c>
      <x:c r="B353" s="3" t="str">
        <x:v>source</x:v>
      </x:c>
      <x:c r="C353" s="3" t="n">
        <x:v>41</x:v>
      </x:c>
      <x:c r="D353" s="3" t="str">
        <x:v>SYS</x:v>
      </x:c>
      <x:c r="E353" s="3" t="str">
        <x:v>SYS-012, SYS-013, SYS-014, SYS-015, SYS-016, SYS-017, SYS-023, SYS-024</x:v>
      </x:c>
      <x:c r="F353" s="3" t="str">
        <x:v>11046e3d9df86544d009cae4b24fb58d867e13e4f15df9c064d786d47debe878</x:v>
      </x:c>
    </x:row>
    <x:row r="354" ht="36" customHeight="1">
      <x:c r="A354" s="3" t="str">
        <x:v>src/test/render-with-providers.tsx</x:v>
      </x:c>
      <x:c r="B354" s="3" t="str">
        <x:v>source</x:v>
      </x:c>
      <x:c r="C354" s="3" t="n">
        <x:v>25</x:v>
      </x:c>
      <x:c r="D354" s="3" t="str">
        <x:v>SYS</x:v>
      </x:c>
      <x:c r="E354" s="3" t="str">
        <x:v>Supporting source của module</x:v>
      </x:c>
      <x:c r="F354" s="3" t="str">
        <x:v>cc36936930d740062be3d0e5a5cd107ee5dba932086479bbaaf009b684ce238d</x:v>
      </x:c>
    </x:row>
    <x:row r="355" ht="36" customHeight="1">
      <x:c r="A355" s="3" t="str">
        <x:v>src/test/setup.ts</x:v>
      </x:c>
      <x:c r="B355" s="3" t="str">
        <x:v>source</x:v>
      </x:c>
      <x:c r="C355" s="3" t="n">
        <x:v>20</x:v>
      </x:c>
      <x:c r="D355" s="3" t="str">
        <x:v>SYS</x:v>
      </x:c>
      <x:c r="E355" s="3" t="str">
        <x:v>Supporting source của module</x:v>
      </x:c>
      <x:c r="F355" s="3" t="str">
        <x:v>a5e90f9e9a251cc8e36f748cc03f65de604e7ded1eddccb54bbb7826e13facd3</x:v>
      </x:c>
    </x:row>
    <x:row r="356" ht="36" customHeight="1">
      <x:c r="A356" s="3" t="str">
        <x:v>messages/en.json</x:v>
      </x:c>
      <x:c r="B356" s="3" t="str">
        <x:v>config/data</x:v>
      </x:c>
      <x:c r="C356" s="3" t="n">
        <x:v>741</x:v>
      </x:c>
      <x:c r="D356" s="3" t="str">
        <x:v>LOC</x:v>
      </x:c>
      <x:c r="E356" s="3" t="str">
        <x:v>Supporting source của module</x:v>
      </x:c>
      <x:c r="F356" s="3" t="str">
        <x:v>a31e52cdc11838785300d2a73f0a5833862a964b065a12c202ec883d8170a3c7</x:v>
      </x:c>
    </x:row>
    <x:row r="357" ht="36" customHeight="1">
      <x:c r="A357" s="3" t="str">
        <x:v>messages/vi.json</x:v>
      </x:c>
      <x:c r="B357" s="3" t="str">
        <x:v>config/data</x:v>
      </x:c>
      <x:c r="C357" s="3" t="n">
        <x:v>741</x:v>
      </x:c>
      <x:c r="D357" s="3" t="str">
        <x:v>LOC</x:v>
      </x:c>
      <x:c r="E357" s="3" t="str">
        <x:v>Supporting source của module</x:v>
      </x:c>
      <x:c r="F357" s="3" t="str">
        <x:v>36c571ee691f91a19551b140f017450ae050e70133ee419b69645c3d249488f7</x:v>
      </x:c>
    </x:row>
    <x:row r="358" ht="36" customHeight="1">
      <x:c r="A358" s="3" t="str">
        <x:v>package.json</x:v>
      </x:c>
      <x:c r="B358" s="3" t="str">
        <x:v>config/data</x:v>
      </x:c>
      <x:c r="C358" s="3" t="n">
        <x:v>71</x:v>
      </x:c>
      <x:c r="D358" s="3" t="str">
        <x:v>SYS</x:v>
      </x:c>
      <x:c r="E358" s="3" t="str">
        <x:v>Supporting source của module</x:v>
      </x:c>
      <x:c r="F358" s="3" t="str">
        <x:v>77990ff09d62fd108ff2ba30f9368a2f31ce35d8feb4c6c41e62429fd65d9e7d</x:v>
      </x:c>
    </x:row>
    <x:row r="359" ht="36" customHeight="1">
      <x:c r="A359" s="3" t="str">
        <x:v>package-lock.json</x:v>
      </x:c>
      <x:c r="B359" s="3" t="str">
        <x:v>config/data</x:v>
      </x:c>
      <x:c r="C359" s="3" t="n">
        <x:v>10762</x:v>
      </x:c>
      <x:c r="D359" s="3" t="str">
        <x:v>SYS</x:v>
      </x:c>
      <x:c r="E359" s="3" t="str">
        <x:v>Supporting source của module</x:v>
      </x:c>
      <x:c r="F359" s="3" t="str">
        <x:v>d2f14ac9ce990d81ce1b467cf5fab1e1d86e40056f9ea1bcd2a1396f51dd8e1c</x:v>
      </x:c>
    </x:row>
    <x:row r="360" ht="36" customHeight="1">
      <x:c r="A360" s="3" t="str">
        <x:v>yarn.lock</x:v>
      </x:c>
      <x:c r="B360" s="3" t="str">
        <x:v>config/data</x:v>
      </x:c>
      <x:c r="C360" s="3" t="n">
        <x:v>4360</x:v>
      </x:c>
      <x:c r="D360" s="3" t="str">
        <x:v>SYS</x:v>
      </x:c>
      <x:c r="E360" s="3" t="str">
        <x:v>Supporting source của module</x:v>
      </x:c>
      <x:c r="F360" s="3" t="str">
        <x:v>33b41e1c69ec29cd84295a0147ad68340d69966abd3e5a0e45835441b3bd8f03</x:v>
      </x:c>
    </x:row>
    <x:row r="361" ht="36" customHeight="1">
      <x:c r="A361" s="3" t="str">
        <x:v>tsconfig.json</x:v>
      </x:c>
      <x:c r="B361" s="3" t="str">
        <x:v>config/data</x:v>
      </x:c>
      <x:c r="C361" s="3" t="n">
        <x:v>25</x:v>
      </x:c>
      <x:c r="D361" s="3" t="str">
        <x:v>SYS</x:v>
      </x:c>
      <x:c r="E361" s="3" t="str">
        <x:v>Supporting source của module</x:v>
      </x:c>
      <x:c r="F361" s="3" t="str">
        <x:v>cb10d119b0c0d1dad481e0cfd01d6b3fd4e26fedfe7f87ab0400a4fa861f1951</x:v>
      </x:c>
    </x:row>
    <x:row r="362" ht="36" customHeight="1">
      <x:c r="A362" s="3" t="str">
        <x:v>next.config.ts</x:v>
      </x:c>
      <x:c r="B362" s="3" t="str">
        <x:v>config/data</x:v>
      </x:c>
      <x:c r="C362" s="3" t="n">
        <x:v>38</x:v>
      </x:c>
      <x:c r="D362" s="3" t="str">
        <x:v>SYS</x:v>
      </x:c>
      <x:c r="E362" s="3" t="str">
        <x:v>Supporting source của module</x:v>
      </x:c>
      <x:c r="F362" s="3" t="str">
        <x:v>7c9791c72c188b43d8e46d63dcd3b2fdc290b337968e8d54733dff54337c2f3e</x:v>
      </x:c>
    </x:row>
    <x:row r="363" ht="36" customHeight="1">
      <x:c r="A363" s="3" t="str">
        <x:v>vitest.config.ts</x:v>
      </x:c>
      <x:c r="B363" s="3" t="str">
        <x:v>config/data</x:v>
      </x:c>
      <x:c r="C363" s="3" t="n">
        <x:v>27</x:v>
      </x:c>
      <x:c r="D363" s="3" t="str">
        <x:v>SYS</x:v>
      </x:c>
      <x:c r="E363" s="3" t="str">
        <x:v>Supporting source của module</x:v>
      </x:c>
      <x:c r="F363" s="3" t="str">
        <x:v>3e38a37a71dcf4e9dccf06e511d7d4a37d6114aaf92576bda0943a7213fb18b5</x:v>
      </x:c>
    </x:row>
    <x:row r="364" ht="36" customHeight="1">
      <x:c r="A364" s="3" t="str">
        <x:v>tailwind.config.ts</x:v>
      </x:c>
      <x:c r="B364" s="3" t="str">
        <x:v>config/data</x:v>
      </x:c>
      <x:c r="C364" s="3" t="n">
        <x:v>67</x:v>
      </x:c>
      <x:c r="D364" s="3" t="str">
        <x:v>SYS</x:v>
      </x:c>
      <x:c r="E364" s="3" t="str">
        <x:v>Supporting source của module</x:v>
      </x:c>
      <x:c r="F364" s="3" t="str">
        <x:v>21b86ff2bba41c3e85b63f97f5d2c75bbd89da848866e39f47b9f44262d649a2</x:v>
      </x:c>
    </x:row>
    <x:row r="365" ht="36" customHeight="1">
      <x:c r="A365" s="3" t="str">
        <x:v>components.json</x:v>
      </x:c>
      <x:c r="B365" s="3" t="str">
        <x:v>config/data</x:v>
      </x:c>
      <x:c r="C365" s="3" t="n">
        <x:v>20</x:v>
      </x:c>
      <x:c r="D365" s="3" t="str">
        <x:v>SYS</x:v>
      </x:c>
      <x:c r="E365" s="3" t="str">
        <x:v>Supporting source của module</x:v>
      </x:c>
      <x:c r="F365" s="3" t="str">
        <x:v>f21c543aba31d0024af91f2ad0f78ebee1a38f04e1b8a5068837621149be5430</x:v>
      </x:c>
    </x:row>
    <x:row r="366" ht="36" customHeight="1">
      <x:c r="A366" s="3" t="str">
        <x:v>.env.example</x:v>
      </x:c>
      <x:c r="B366" s="3" t="str">
        <x:v>config/data</x:v>
      </x:c>
      <x:c r="C366" s="3" t="n">
        <x:v>5</x:v>
      </x:c>
      <x:c r="D366" s="3" t="str">
        <x:v>SYS</x:v>
      </x:c>
      <x:c r="E366" s="3" t="str">
        <x:v>Supporting source của module</x:v>
      </x:c>
      <x:c r="F366" s="3" t="str">
        <x:v>3dd09e3a40d28f701050a2897030c7a13e2663939621a9d9ac9eebe8008777cf</x:v>
      </x:c>
    </x:row>
    <x:row r="367" ht="36" customHeight="1">
      <x:c r="A367" s="3" t="str">
        <x:v>.eslintrc.json</x:v>
      </x:c>
      <x:c r="B367" s="3" t="str">
        <x:v>config/data</x:v>
      </x:c>
      <x:c r="C367" s="3" t="n">
        <x:v>15</x:v>
      </x:c>
      <x:c r="D367" s="3" t="str">
        <x:v>SYS</x:v>
      </x:c>
      <x:c r="E367" s="3" t="str">
        <x:v>Supporting source của module</x:v>
      </x:c>
      <x:c r="F367" s="3" t="str">
        <x:v>3e78aaa2783956aa34148ee5f5783ff7bbf00ffce38d38aa1a5a17f9c7e5bed7</x:v>
      </x:c>
    </x:row>
    <x:row r="368" ht="36" customHeight="1">
      <x:c r="A368" s="3" t="str">
        <x:v>.prettierrc.json</x:v>
      </x:c>
      <x:c r="B368" s="3" t="str">
        <x:v>config/data</x:v>
      </x:c>
      <x:c r="C368" s="3" t="n">
        <x:v>9</x:v>
      </x:c>
      <x:c r="D368" s="3" t="str">
        <x:v>SYS</x:v>
      </x:c>
      <x:c r="E368" s="3" t="str">
        <x:v>Supporting source của module</x:v>
      </x:c>
      <x:c r="F368" s="3" t="str">
        <x:v>65f48fe11718a11fc1084ee6976240eec30e57fc0328406e41bdca846f692ec7</x:v>
      </x:c>
    </x:row>
    <x:row r="369" ht="36" customHeight="1">
      <x:c r="A369" s="3" t="str">
        <x:v>postcss.config.mjs</x:v>
      </x:c>
      <x:c r="B369" s="3" t="str">
        <x:v>config/data</x:v>
      </x:c>
      <x:c r="C369" s="3" t="n">
        <x:v>8</x:v>
      </x:c>
      <x:c r="D369" s="3" t="str">
        <x:v>SYS</x:v>
      </x:c>
      <x:c r="E369" s="3" t="str">
        <x:v>Supporting source của module</x:v>
      </x:c>
      <x:c r="F369" s="3" t="str">
        <x:v>8c4071497479b4bb346d0ebb53b1bdeb555beb659512aaa0d6988d0d83ddeed5</x:v>
      </x:c>
    </x:row>
    <x:row r="370" ht="36" customHeight="1">
      <x:c r="A370" s="3" t="str">
        <x:v>scripts/qa-baseline.sh</x:v>
      </x:c>
      <x:c r="B370" s="3" t="str">
        <x:v>config/data</x:v>
      </x:c>
      <x:c r="C370" s="3" t="n">
        <x:v>35</x:v>
      </x:c>
      <x:c r="D370" s="3" t="str">
        <x:v>SYS</x:v>
      </x:c>
      <x:c r="E370" s="3" t="str">
        <x:v>Supporting source của module</x:v>
      </x:c>
      <x:c r="F370" s="3" t="str">
        <x:v>8092d9700bf1e945179e973f0cc478d1802b8eac2664a61f44e7d3ea3bd401bc</x:v>
      </x:c>
    </x:row>
  </x:sheetData>
  <x:pageMargins left="0.7" right="0.7" top="0.75" bottom="0.75" header="0.3" footer="0.3"/>
  <x:tableParts count="1">
    <x:tablePart xmlns:r="http://schemas.openxmlformats.org/officeDocument/2006/relationships" r:id="Rafa3a9a7a73e4fe9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8.88999938964844" hidden="0" customWidth="1"/>
    <x:col min="2" max="2" width="15" hidden="0" customWidth="1"/>
    <x:col min="3" max="3" width="12.220000267028809" hidden="0" customWidth="1"/>
    <x:col min="4" max="4" width="12.220000267028809" hidden="0" customWidth="1"/>
    <x:col min="5" max="5" width="100" hidden="0" customWidth="1"/>
  </x:cols>
  <x:sheetData>
    <x:row r="1">
      <x:c r="A1" s="3"/>
      <x:c r="B1" s="3"/>
      <x:c r="C1" s="3"/>
      <x:c r="D1" s="3"/>
      <x:c r="E1" s="3"/>
    </x:row>
    <x:row r="2" ht="27" customHeight="1">
      <x:c r="A2" s="5" t="str">
        <x:v>Baseline Vitest hiện có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4" customHeight="1">
      <x:c r="A4" s="9" t="str">
        <x:v>Test file</x:v>
      </x:c>
      <x:c r="B4" s="9" t="str">
        <x:v>Kết quả file</x:v>
      </x:c>
      <x:c r="C4" s="9" t="str">
        <x:v>Test Pass</x:v>
      </x:c>
      <x:c r="D4" s="9" t="str">
        <x:v>Test Fail</x:v>
      </x:c>
      <x:c r="E4" s="9" t="str">
        <x:v>Lỗi đã quan sát / giới hạn</x:v>
      </x:c>
    </x:row>
    <x:row r="5" ht="36" customHeight="1">
      <x:c r="A5" s="3" t="str">
        <x:v>src/app/sitemap.test.ts</x:v>
      </x:c>
      <x:c r="B5" s="3" t="str">
        <x:v>passed</x:v>
      </x:c>
      <x:c r="C5" s="3" t="n">
        <x:v>3</x:v>
      </x:c>
      <x:c r="D5" s="3" t="n">
        <x:v>0</x:v>
      </x:c>
      <x:c r="E5" s="3" t="str">
        <x:v>Không ghi nhận failure ở file trong lần chạy này.</x:v>
      </x:c>
    </x:row>
    <x:row r="6" ht="36" customHeight="1">
      <x:c r="A6" s="3" t="str">
        <x:v>src/config/client-env.test.ts</x:v>
      </x:c>
      <x:c r="B6" s="3" t="str">
        <x:v>passed</x:v>
      </x:c>
      <x:c r="C6" s="3" t="n">
        <x:v>6</x:v>
      </x:c>
      <x:c r="D6" s="3" t="n">
        <x:v>0</x:v>
      </x:c>
      <x:c r="E6" s="3" t="str">
        <x:v>Không ghi nhận failure ở file trong lần chạy này.</x:v>
      </x:c>
    </x:row>
    <x:row r="7" ht="36" customHeight="1">
      <x:c r="A7" s="3" t="str">
        <x:v>src/config/site.test.ts</x:v>
      </x:c>
      <x:c r="B7" s="3" t="str">
        <x:v>passed</x:v>
      </x:c>
      <x:c r="C7" s="3" t="n">
        <x:v>6</x:v>
      </x:c>
      <x:c r="D7" s="3" t="n">
        <x:v>0</x:v>
      </x:c>
      <x:c r="E7" s="3" t="str">
        <x:v>Không ghi nhận failure ở file trong lần chạy này.</x:v>
      </x:c>
    </x:row>
    <x:row r="8" ht="36" customHeight="1">
      <x:c r="A8" s="3" t="str">
        <x:v>src/constants/country-data.test.ts</x:v>
      </x:c>
      <x:c r="B8" s="3" t="str">
        <x:v>passed</x:v>
      </x:c>
      <x:c r="C8" s="3" t="n">
        <x:v>5</x:v>
      </x:c>
      <x:c r="D8" s="3" t="n">
        <x:v>0</x:v>
      </x:c>
      <x:c r="E8" s="3" t="str">
        <x:v>Không ghi nhận failure ở file trong lần chạy này.</x:v>
      </x:c>
    </x:row>
    <x:row r="9" ht="36" customHeight="1">
      <x:c r="A9" s="3" t="str">
        <x:v>src/i18n/locale.test.ts</x:v>
      </x:c>
      <x:c r="B9" s="3" t="str">
        <x:v>passed</x:v>
      </x:c>
      <x:c r="C9" s="3" t="n">
        <x:v>4</x:v>
      </x:c>
      <x:c r="D9" s="3" t="n">
        <x:v>0</x:v>
      </x:c>
      <x:c r="E9" s="3" t="str">
        <x:v>Không ghi nhận failure ở file trong lần chạy này.</x:v>
      </x:c>
    </x:row>
    <x:row r="10" ht="36" customHeight="1">
      <x:c r="A10" s="3" t="str">
        <x:v>src/i18n/messages.test.ts</x:v>
      </x:c>
      <x:c r="B10" s="3" t="str">
        <x:v>passed</x:v>
      </x:c>
      <x:c r="C10" s="3" t="n">
        <x:v>1</x:v>
      </x:c>
      <x:c r="D10" s="3" t="n">
        <x:v>0</x:v>
      </x:c>
      <x:c r="E10" s="3" t="str">
        <x:v>Không ghi nhận failure ở file trong lần chạy này.</x:v>
      </x:c>
    </x:row>
    <x:row r="11" ht="36" customHeight="1">
      <x:c r="A11" s="3" t="str">
        <x:v>src/lib/api-error.test.ts</x:v>
      </x:c>
      <x:c r="B11" s="3" t="str">
        <x:v>passed</x:v>
      </x:c>
      <x:c r="C11" s="3" t="n">
        <x:v>1</x:v>
      </x:c>
      <x:c r="D11" s="3" t="n">
        <x:v>0</x:v>
      </x:c>
      <x:c r="E11" s="3" t="str">
        <x:v>Không ghi nhận failure ở file trong lần chạy này.</x:v>
      </x:c>
    </x:row>
    <x:row r="12" ht="36" customHeight="1">
      <x:c r="A12" s="3" t="str">
        <x:v>src/lib/auth-token-store.test.ts</x:v>
      </x:c>
      <x:c r="B12" s="3" t="str">
        <x:v>passed</x:v>
      </x:c>
      <x:c r="C12" s="3" t="n">
        <x:v>4</x:v>
      </x:c>
      <x:c r="D12" s="3" t="n">
        <x:v>0</x:v>
      </x:c>
      <x:c r="E12" s="3" t="str">
        <x:v>Không ghi nhận failure ở file trong lần chạy này.</x:v>
      </x:c>
    </x:row>
    <x:row r="13" ht="36" customHeight="1">
      <x:c r="A13" s="3" t="str">
        <x:v>src/lib/http-client.test.ts</x:v>
      </x:c>
      <x:c r="B13" s="3" t="str">
        <x:v>passed</x:v>
      </x:c>
      <x:c r="C13" s="3" t="n">
        <x:v>4</x:v>
      </x:c>
      <x:c r="D13" s="3" t="n">
        <x:v>0</x:v>
      </x:c>
      <x:c r="E13" s="3" t="str">
        <x:v>Không ghi nhận failure ở file trong lần chạy này.</x:v>
      </x:c>
    </x:row>
    <x:row r="14" ht="36" customHeight="1">
      <x:c r="A14" s="3" t="str">
        <x:v>src/lib/server-api-request.test.ts</x:v>
      </x:c>
      <x:c r="B14" s="3" t="str">
        <x:v>passed</x:v>
      </x:c>
      <x:c r="C14" s="3" t="n">
        <x:v>3</x:v>
      </x:c>
      <x:c r="D14" s="3" t="n">
        <x:v>0</x:v>
      </x:c>
      <x:c r="E14" s="3" t="str">
        <x:v>Không ghi nhận failure ở file trong lần chạy này.</x:v>
      </x:c>
    </x:row>
    <x:row r="15" ht="36" customHeight="1">
      <x:c r="A15" s="3" t="str">
        <x:v>src/components/layout/main-header.test.tsx</x:v>
      </x:c>
      <x:c r="B15" s="3" t="str">
        <x:v>passed</x:v>
      </x:c>
      <x:c r="C15" s="3" t="n">
        <x:v>4</x:v>
      </x:c>
      <x:c r="D15" s="3" t="n">
        <x:v>0</x:v>
      </x:c>
      <x:c r="E15" s="3" t="str">
        <x:v>Không ghi nhận failure ở file trong lần chạy này.</x:v>
      </x:c>
    </x:row>
    <x:row r="16" ht="36" customHeight="1">
      <x:c r="A16" s="3" t="str">
        <x:v>src/components/shared/country-select.test.tsx</x:v>
      </x:c>
      <x:c r="B16" s="3" t="str">
        <x:v>passed</x:v>
      </x:c>
      <x:c r="C16" s="3" t="n">
        <x:v>7</x:v>
      </x:c>
      <x:c r="D16" s="3" t="n">
        <x:v>0</x:v>
      </x:c>
      <x:c r="E16" s="3" t="str">
        <x:v>Không ghi nhận failure ở file trong lần chạy này.</x:v>
      </x:c>
    </x:row>
    <x:row r="17" ht="36" customHeight="1">
      <x:c r="A17" s="3" t="str">
        <x:v>src/components/ui/swiper-navigation.test.tsx</x:v>
      </x:c>
      <x:c r="B17" s="3" t="str">
        <x:v>passed</x:v>
      </x:c>
      <x:c r="C17" s="3" t="n">
        <x:v>1</x:v>
      </x:c>
      <x:c r="D17" s="3" t="n">
        <x:v>0</x:v>
      </x:c>
      <x:c r="E17" s="3" t="str">
        <x:v>Không ghi nhận failure ở file trong lần chạy này.</x:v>
      </x:c>
    </x:row>
    <x:row r="18" ht="36" customHeight="1">
      <x:c r="A18" s="3" t="str">
        <x:v>src/features/brands/server.test.ts</x:v>
      </x:c>
      <x:c r="B18" s="3" t="str">
        <x:v>passed</x:v>
      </x:c>
      <x:c r="C18" s="3" t="n">
        <x:v>4</x:v>
      </x:c>
      <x:c r="D18" s="3" t="n">
        <x:v>0</x:v>
      </x:c>
      <x:c r="E18" s="3" t="str">
        <x:v>Không ghi nhận failure ở file trong lần chạy này.</x:v>
      </x:c>
    </x:row>
    <x:row r="19" ht="36" customHeight="1">
      <x:c r="A19" s="3" t="str">
        <x:v>src/features/categories/server.test.ts</x:v>
      </x:c>
      <x:c r="B19" s="3" t="str">
        <x:v>passed</x:v>
      </x:c>
      <x:c r="C19" s="3" t="n">
        <x:v>3</x:v>
      </x:c>
      <x:c r="D19" s="3" t="n">
        <x:v>0</x:v>
      </x:c>
      <x:c r="E19" s="3" t="str">
        <x:v>Không ghi nhận failure ở file trong lần chạy này.</x:v>
      </x:c>
    </x:row>
    <x:row r="20" ht="36" customHeight="1">
      <x:c r="A20" s="3" t="str">
        <x:v>src/features/home/server.test.ts</x:v>
      </x:c>
      <x:c r="B20" s="3" t="str">
        <x:v>passed</x:v>
      </x:c>
      <x:c r="C20" s="3" t="n">
        <x:v>7</x:v>
      </x:c>
      <x:c r="D20" s="3" t="n">
        <x:v>0</x:v>
      </x:c>
      <x:c r="E20" s="3" t="str">
        <x:v>Không ghi nhận failure ở file trong lần chạy này.</x:v>
      </x:c>
    </x:row>
    <x:row r="21" ht="36" customHeight="1">
      <x:c r="A21" s="3" t="str">
        <x:v>src/features/products/server.test.ts</x:v>
      </x:c>
      <x:c r="B21" s="3" t="str">
        <x:v>passed</x:v>
      </x:c>
      <x:c r="C21" s="3" t="n">
        <x:v>14</x:v>
      </x:c>
      <x:c r="D21" s="3" t="n">
        <x:v>0</x:v>
      </x:c>
      <x:c r="E21" s="3" t="str">
        <x:v>Không ghi nhận failure ở file trong lần chạy này.</x:v>
      </x:c>
    </x:row>
    <x:row r="22" ht="40" customHeight="1">
      <x:c r="A22" s="3" t="str">
        <x:v>src/features/about/components/about-screen.test.tsx</x:v>
      </x:c>
      <x:c r="B22" s="3" t="str">
        <x:v>failed</x:v>
      </x:c>
      <x:c r="C22" s="3" t="n">
        <x:v>0</x:v>
      </x:c>
      <x:c r="D22" s="3" t="n">
        <x:v>1</x:v>
      </x:c>
      <x:c r="E22" s="3" t="str">
        <x:v>AboutScreen renders the About content, partner grid and product call to action — Error: Failed to call `useTranslations` because the context from `NextIntlClientProvider` was not found.</x:v>
      </x:c>
    </x:row>
    <x:row r="23" ht="36" customHeight="1">
      <x:c r="A23" s="3" t="str">
        <x:v>src/features/auth/api/auth.service.test.ts</x:v>
      </x:c>
      <x:c r="B23" s="3" t="str">
        <x:v>passed</x:v>
      </x:c>
      <x:c r="C23" s="3" t="n">
        <x:v>8</x:v>
      </x:c>
      <x:c r="D23" s="3" t="n">
        <x:v>0</x:v>
      </x:c>
      <x:c r="E23" s="3" t="str">
        <x:v>Không ghi nhận failure ở file trong lần chạy này.</x:v>
      </x:c>
    </x:row>
    <x:row r="24" ht="36" customHeight="1">
      <x:c r="A24" s="3" t="str">
        <x:v>src/features/auth/components/auth-shell.test.tsx</x:v>
      </x:c>
      <x:c r="B24" s="3" t="str">
        <x:v>passed</x:v>
      </x:c>
      <x:c r="C24" s="3" t="n">
        <x:v>1</x:v>
      </x:c>
      <x:c r="D24" s="3" t="n">
        <x:v>0</x:v>
      </x:c>
      <x:c r="E24" s="3" t="str">
        <x:v>Không ghi nhận failure ở file trong lần chạy này.</x:v>
      </x:c>
    </x:row>
    <x:row r="25" ht="40" customHeight="1">
      <x:c r="A25" s="3" t="str">
        <x:v>src/features/auth/components/forgot-password-form.test.tsx</x:v>
      </x:c>
      <x:c r="B25" s="3" t="str">
        <x:v>failed</x:v>
      </x:c>
      <x:c r="C25" s="3" t="n">
        <x:v>0</x:v>
      </x:c>
      <x:c r="D25" s="3" t="n">
        <x:v>1</x:v>
      </x:c>
      <x:c r="E25" s="3" t="str">
        <x:v>ForgotPasswordForm completes the email, OTP verification and new password flow — Error: Unable to find role="heading" and name "Set a new password"</x:v>
      </x:c>
    </x:row>
    <x:row r="26" ht="36" customHeight="1">
      <x:c r="A26" s="3" t="str">
        <x:v>src/features/auth/components/header-account-menu.test.tsx</x:v>
      </x:c>
      <x:c r="B26" s="3" t="str">
        <x:v>passed</x:v>
      </x:c>
      <x:c r="C26" s="3" t="n">
        <x:v>1</x:v>
      </x:c>
      <x:c r="D26" s="3" t="n">
        <x:v>0</x:v>
      </x:c>
      <x:c r="E26" s="3" t="str">
        <x:v>Không ghi nhận failure ở file trong lần chạy này.</x:v>
      </x:c>
    </x:row>
    <x:row r="27" ht="36" customHeight="1">
      <x:c r="A27" s="3" t="str">
        <x:v>src/features/auth/components/login-form.test.tsx</x:v>
      </x:c>
      <x:c r="B27" s="3" t="str">
        <x:v>passed</x:v>
      </x:c>
      <x:c r="C27" s="3" t="n">
        <x:v>3</x:v>
      </x:c>
      <x:c r="D27" s="3" t="n">
        <x:v>0</x:v>
      </x:c>
      <x:c r="E27" s="3" t="str">
        <x:v>Không ghi nhận failure ở file trong lần chạy này.</x:v>
      </x:c>
    </x:row>
    <x:row r="28" ht="36" customHeight="1">
      <x:c r="A28" s="3" t="str">
        <x:v>src/features/auth/components/signup-form.test.tsx</x:v>
      </x:c>
      <x:c r="B28" s="3" t="str">
        <x:v>passed</x:v>
      </x:c>
      <x:c r="C28" s="3" t="n">
        <x:v>1</x:v>
      </x:c>
      <x:c r="D28" s="3" t="n">
        <x:v>0</x:v>
      </x:c>
      <x:c r="E28" s="3" t="str">
        <x:v>Không ghi nhận failure ở file trong lần chạy này.</x:v>
      </x:c>
    </x:row>
    <x:row r="29" ht="36" customHeight="1">
      <x:c r="A29" s="3" t="str">
        <x:v>src/features/auth/schemas/forgot-password.schema.test.ts</x:v>
      </x:c>
      <x:c r="B29" s="3" t="str">
        <x:v>passed</x:v>
      </x:c>
      <x:c r="C29" s="3" t="n">
        <x:v>3</x:v>
      </x:c>
      <x:c r="D29" s="3" t="n">
        <x:v>0</x:v>
      </x:c>
      <x:c r="E29" s="3" t="str">
        <x:v>Không ghi nhận failure ở file trong lần chạy này.</x:v>
      </x:c>
    </x:row>
    <x:row r="30" ht="36" customHeight="1">
      <x:c r="A30" s="3" t="str">
        <x:v>src/features/auth/schemas/login.schema.test.ts</x:v>
      </x:c>
      <x:c r="B30" s="3" t="str">
        <x:v>passed</x:v>
      </x:c>
      <x:c r="C30" s="3" t="n">
        <x:v>2</x:v>
      </x:c>
      <x:c r="D30" s="3" t="n">
        <x:v>0</x:v>
      </x:c>
      <x:c r="E30" s="3" t="str">
        <x:v>Không ghi nhận failure ở file trong lần chạy này.</x:v>
      </x:c>
    </x:row>
    <x:row r="31" ht="36" customHeight="1">
      <x:c r="A31" s="3" t="str">
        <x:v>src/features/auth/schemas/signup.schema.test.ts</x:v>
      </x:c>
      <x:c r="B31" s="3" t="str">
        <x:v>passed</x:v>
      </x:c>
      <x:c r="C31" s="3" t="n">
        <x:v>3</x:v>
      </x:c>
      <x:c r="D31" s="3" t="n">
        <x:v>0</x:v>
      </x:c>
      <x:c r="E31" s="3" t="str">
        <x:v>Không ghi nhận failure ở file trong lần chạy này.</x:v>
      </x:c>
    </x:row>
    <x:row r="32" ht="36" customHeight="1">
      <x:c r="A32" s="3" t="str">
        <x:v>src/features/contact/components/contact-form.test.tsx</x:v>
      </x:c>
      <x:c r="B32" s="3" t="str">
        <x:v>passed</x:v>
      </x:c>
      <x:c r="C32" s="3" t="n">
        <x:v>2</x:v>
      </x:c>
      <x:c r="D32" s="3" t="n">
        <x:v>0</x:v>
      </x:c>
      <x:c r="E32" s="3" t="str">
        <x:v>Không ghi nhận failure ở file trong lần chạy này.</x:v>
      </x:c>
    </x:row>
    <x:row r="33" ht="36" customHeight="1">
      <x:c r="A33" s="3" t="str">
        <x:v>src/features/checkout/api/cart.service.test.ts</x:v>
      </x:c>
      <x:c r="B33" s="3" t="str">
        <x:v>passed</x:v>
      </x:c>
      <x:c r="C33" s="3" t="n">
        <x:v>8</x:v>
      </x:c>
      <x:c r="D33" s="3" t="n">
        <x:v>0</x:v>
      </x:c>
      <x:c r="E33" s="3" t="str">
        <x:v>Không ghi nhận failure ở file trong lần chạy này.</x:v>
      </x:c>
    </x:row>
    <x:row r="34" ht="36" customHeight="1">
      <x:c r="A34" s="3" t="str">
        <x:v>src/features/checkout/components/address-fields.test.tsx</x:v>
      </x:c>
      <x:c r="B34" s="3" t="str">
        <x:v>passed</x:v>
      </x:c>
      <x:c r="C34" s="3" t="n">
        <x:v>1</x:v>
      </x:c>
      <x:c r="D34" s="3" t="n">
        <x:v>0</x:v>
      </x:c>
      <x:c r="E34" s="3" t="str">
        <x:v>Không ghi nhận failure ở file trong lần chạy này.</x:v>
      </x:c>
    </x:row>
    <x:row r="35" ht="40" customHeight="1">
      <x:c r="A35" s="3" t="str">
        <x:v>src/features/checkout/components/cart-header-popover.test.tsx</x:v>
      </x:c>
      <x:c r="B35" s="3" t="str">
        <x:v>failed</x:v>
      </x:c>
      <x:c r="C35" s="3" t="n">
        <x:v>0</x:v>
      </x:c>
      <x:c r="D35" s="3" t="n">
        <x:v>1</x:v>
      </x:c>
      <x:c r="E35" s="3" t="str">
        <x:v>CartHeaderPopover removes products through the shared cart service — Error: Unable to find role="button" and name "Cart with 1 products"</x:v>
      </x:c>
    </x:row>
    <x:row r="36" ht="36" customHeight="1">
      <x:c r="A36" s="3" t="str">
        <x:v>src/features/checkout/components/cart-items-table.test.tsx</x:v>
      </x:c>
      <x:c r="B36" s="3" t="str">
        <x:v>passed</x:v>
      </x:c>
      <x:c r="C36" s="3" t="n">
        <x:v>3</x:v>
      </x:c>
      <x:c r="D36" s="3" t="n">
        <x:v>0</x:v>
      </x:c>
      <x:c r="E36" s="3" t="str">
        <x:v>Không ghi nhận failure ở file trong lần chạy này.</x:v>
      </x:c>
    </x:row>
    <x:row r="37" ht="36" customHeight="1">
      <x:c r="A37" s="3" t="str">
        <x:v>src/features/checkout/components/cart-screen.test.tsx</x:v>
      </x:c>
      <x:c r="B37" s="3" t="str">
        <x:v>passed</x:v>
      </x:c>
      <x:c r="C37" s="3" t="n">
        <x:v>2</x:v>
      </x:c>
      <x:c r="D37" s="3" t="n">
        <x:v>0</x:v>
      </x:c>
      <x:c r="E37" s="3" t="str">
        <x:v>Không ghi nhận failure ở file trong lần chạy này.</x:v>
      </x:c>
    </x:row>
    <x:row r="38" ht="36" customHeight="1">
      <x:c r="A38" s="3" t="str">
        <x:v>src/features/checkout/components/checkout-screen.test.tsx</x:v>
      </x:c>
      <x:c r="B38" s="3" t="str">
        <x:v>passed</x:v>
      </x:c>
      <x:c r="C38" s="3" t="n">
        <x:v>1</x:v>
      </x:c>
      <x:c r="D38" s="3" t="n">
        <x:v>0</x:v>
      </x:c>
      <x:c r="E38" s="3" t="str">
        <x:v>Không ghi nhận failure ở file trong lần chạy này.</x:v>
      </x:c>
    </x:row>
    <x:row r="39" ht="36" customHeight="1">
      <x:c r="A39" s="3" t="str">
        <x:v>src/features/checkout/components/payment-screen.test.tsx</x:v>
      </x:c>
      <x:c r="B39" s="3" t="str">
        <x:v>passed</x:v>
      </x:c>
      <x:c r="C39" s="3" t="n">
        <x:v>1</x:v>
      </x:c>
      <x:c r="D39" s="3" t="n">
        <x:v>0</x:v>
      </x:c>
      <x:c r="E39" s="3" t="str">
        <x:v>Không ghi nhận failure ở file trong lần chạy này.</x:v>
      </x:c>
    </x:row>
    <x:row r="40" ht="40" customHeight="1">
      <x:c r="A40" s="3" t="str">
        <x:v>src/features/checkout/components/request-quote-screen.test.tsx</x:v>
      </x:c>
      <x:c r="B40" s="3" t="str">
        <x:v>failed</x:v>
      </x:c>
      <x:c r="C40" s="3" t="n">
        <x:v>0</x:v>
      </x:c>
      <x:c r="D40" s="3" t="n">
        <x:v>1</x:v>
      </x:c>
      <x:c r="E40" s="3" t="str">
        <x:v>RequestQuoteScreen submits selected products once and opens the success screen — TestingLibraryElementError: Unable to find an accessible element with the role "textbox" and name "Phone number"</x:v>
      </x:c>
    </x:row>
    <x:row r="41" ht="36" customHeight="1">
      <x:c r="A41" s="3" t="str">
        <x:v>src/features/checkout/schemas/cart.schema.test.ts</x:v>
      </x:c>
      <x:c r="B41" s="3" t="str">
        <x:v>passed</x:v>
      </x:c>
      <x:c r="C41" s="3" t="n">
        <x:v>6</x:v>
      </x:c>
      <x:c r="D41" s="3" t="n">
        <x:v>0</x:v>
      </x:c>
      <x:c r="E41" s="3" t="str">
        <x:v>Không ghi nhận failure ở file trong lần chạy này.</x:v>
      </x:c>
    </x:row>
    <x:row r="42" ht="36" customHeight="1">
      <x:c r="A42" s="3" t="str">
        <x:v>src/features/checkout/schemas/checkout.schema.test.ts</x:v>
      </x:c>
      <x:c r="B42" s="3" t="str">
        <x:v>passed</x:v>
      </x:c>
      <x:c r="C42" s="3" t="n">
        <x:v>2</x:v>
      </x:c>
      <x:c r="D42" s="3" t="n">
        <x:v>0</x:v>
      </x:c>
      <x:c r="E42" s="3" t="str">
        <x:v>Không ghi nhận failure ở file trong lần chạy này.</x:v>
      </x:c>
    </x:row>
    <x:row r="43" ht="36" customHeight="1">
      <x:c r="A43" s="3" t="str">
        <x:v>src/features/categories/utils/build-category-tree.test.ts</x:v>
      </x:c>
      <x:c r="B43" s="3" t="str">
        <x:v>passed</x:v>
      </x:c>
      <x:c r="C43" s="3" t="n">
        <x:v>3</x:v>
      </x:c>
      <x:c r="D43" s="3" t="n">
        <x:v>0</x:v>
      </x:c>
      <x:c r="E43" s="3" t="str">
        <x:v>Không ghi nhận failure ở file trong lần chạy này.</x:v>
      </x:c>
    </x:row>
    <x:row r="44" ht="36" customHeight="1">
      <x:c r="A44" s="3" t="str">
        <x:v>src/features/home/components/categories-section.test.tsx</x:v>
      </x:c>
      <x:c r="B44" s="3" t="str">
        <x:v>passed</x:v>
      </x:c>
      <x:c r="C44" s="3" t="n">
        <x:v>1</x:v>
      </x:c>
      <x:c r="D44" s="3" t="n">
        <x:v>0</x:v>
      </x:c>
      <x:c r="E44" s="3" t="str">
        <x:v>Không ghi nhận failure ở file trong lần chạy này.</x:v>
      </x:c>
    </x:row>
    <x:row r="45" ht="36" customHeight="1">
      <x:c r="A45" s="3" t="str">
        <x:v>src/features/home/components/hero-section.test.tsx</x:v>
      </x:c>
      <x:c r="B45" s="3" t="str">
        <x:v>passed</x:v>
      </x:c>
      <x:c r="C45" s="3" t="n">
        <x:v>1</x:v>
      </x:c>
      <x:c r="D45" s="3" t="n">
        <x:v>0</x:v>
      </x:c>
      <x:c r="E45" s="3" t="str">
        <x:v>Không ghi nhận failure ở file trong lần chạy này.</x:v>
      </x:c>
    </x:row>
    <x:row r="46" ht="36" customHeight="1">
      <x:c r="A46" s="3" t="str">
        <x:v>src/features/home/components/social-proof-section.test.tsx</x:v>
      </x:c>
      <x:c r="B46" s="3" t="str">
        <x:v>passed</x:v>
      </x:c>
      <x:c r="C46" s="3" t="n">
        <x:v>1</x:v>
      </x:c>
      <x:c r="D46" s="3" t="n">
        <x:v>0</x:v>
      </x:c>
      <x:c r="E46" s="3" t="str">
        <x:v>Không ghi nhận failure ở file trong lần chạy này.</x:v>
      </x:c>
    </x:row>
    <x:row r="47" ht="36" customHeight="1">
      <x:c r="A47" s="3" t="str">
        <x:v>src/features/home/components/testimonial-carousel.test.tsx</x:v>
      </x:c>
      <x:c r="B47" s="3" t="str">
        <x:v>passed</x:v>
      </x:c>
      <x:c r="C47" s="3" t="n">
        <x:v>1</x:v>
      </x:c>
      <x:c r="D47" s="3" t="n">
        <x:v>0</x:v>
      </x:c>
      <x:c r="E47" s="3" t="str">
        <x:v>Không ghi nhận failure ở file trong lần chạy này.</x:v>
      </x:c>
    </x:row>
    <x:row r="48" ht="36" customHeight="1">
      <x:c r="A48" s="3" t="str">
        <x:v>src/features/orders/api/orders.service.test.ts</x:v>
      </x:c>
      <x:c r="B48" s="3" t="str">
        <x:v>passed</x:v>
      </x:c>
      <x:c r="C48" s="3" t="n">
        <x:v>3</x:v>
      </x:c>
      <x:c r="D48" s="3" t="n">
        <x:v>0</x:v>
      </x:c>
      <x:c r="E48" s="3" t="str">
        <x:v>Không ghi nhận failure ở file trong lần chạy này.</x:v>
      </x:c>
    </x:row>
    <x:row r="49" ht="71" customHeight="1">
      <x:c r="A49" s="3" t="str">
        <x:v>src/features/orders/components/orders-table.test.tsx</x:v>
      </x:c>
      <x:c r="B49" s="3" t="str">
        <x:v>failed</x:v>
      </x:c>
      <x:c r="C49" s="3" t="n">
        <x:v>0</x:v>
      </x:c>
      <x:c r="D49" s="3" t="n">
        <x:v>2</x:v>
      </x:c>
      <x:c r="E49" s="3" t="str">
        <x:v>OrdersTable shows the order data and exposes a detail link — Error: Failed to call `useTranslations` because the context from `NextIntlClientProvider` was not found.
OrdersTable requests the next page when more orders are available — Error: Failed to call `useTranslations` because the context from `NextIntlClientProvider` was not found.</x:v>
      </x:c>
    </x:row>
    <x:row r="50" ht="36" customHeight="1">
      <x:c r="A50" s="3" t="str">
        <x:v>src/features/orders/utils/order-formatters.test.ts</x:v>
      </x:c>
      <x:c r="B50" s="3" t="str">
        <x:v>passed</x:v>
      </x:c>
      <x:c r="C50" s="3" t="n">
        <x:v>2</x:v>
      </x:c>
      <x:c r="D50" s="3" t="n">
        <x:v>0</x:v>
      </x:c>
      <x:c r="E50" s="3" t="str">
        <x:v>Không ghi nhận failure ở file trong lần chạy này.</x:v>
      </x:c>
    </x:row>
    <x:row r="51" ht="36" customHeight="1">
      <x:c r="A51" s="3" t="str">
        <x:v>src/features/news/data/news-data.test.ts</x:v>
      </x:c>
      <x:c r="B51" s="3" t="str">
        <x:v>passed</x:v>
      </x:c>
      <x:c r="C51" s="3" t="n">
        <x:v>2</x:v>
      </x:c>
      <x:c r="D51" s="3" t="n">
        <x:v>0</x:v>
      </x:c>
      <x:c r="E51" s="3" t="str">
        <x:v>Không ghi nhận failure ở file trong lần chạy này.</x:v>
      </x:c>
    </x:row>
    <x:row r="52" ht="36" customHeight="1">
      <x:c r="A52" s="3" t="str">
        <x:v>src/features/news/components/news-feed.test.tsx</x:v>
      </x:c>
      <x:c r="B52" s="3" t="str">
        <x:v>passed</x:v>
      </x:c>
      <x:c r="C52" s="3" t="n">
        <x:v>1</x:v>
      </x:c>
      <x:c r="D52" s="3" t="n">
        <x:v>0</x:v>
      </x:c>
      <x:c r="E52" s="3" t="str">
        <x:v>Không ghi nhận failure ở file trong lần chạy này.</x:v>
      </x:c>
    </x:row>
    <x:row r="53" ht="36" customHeight="1">
      <x:c r="A53" s="3" t="str">
        <x:v>src/features/legal/components/legal-document-screen.test.tsx</x:v>
      </x:c>
      <x:c r="B53" s="3" t="str">
        <x:v>passed</x:v>
      </x:c>
      <x:c r="C53" s="3" t="n">
        <x:v>2</x:v>
      </x:c>
      <x:c r="D53" s="3" t="n">
        <x:v>0</x:v>
      </x:c>
      <x:c r="E53" s="3" t="str">
        <x:v>Không ghi nhận failure ở file trong lần chạy này.</x:v>
      </x:c>
    </x:row>
    <x:row r="54" ht="36" customHeight="1">
      <x:c r="A54" s="3" t="str">
        <x:v>src/features/products/data/products-data.test.ts</x:v>
      </x:c>
      <x:c r="B54" s="3" t="str">
        <x:v>passed</x:v>
      </x:c>
      <x:c r="C54" s="3" t="n">
        <x:v>3</x:v>
      </x:c>
      <x:c r="D54" s="3" t="n">
        <x:v>0</x:v>
      </x:c>
      <x:c r="E54" s="3" t="str">
        <x:v>Không ghi nhận failure ở file trong lần chạy này.</x:v>
      </x:c>
    </x:row>
    <x:row r="55" ht="36" customHeight="1">
      <x:c r="A55" s="3" t="str">
        <x:v>src/features/products/schemas/product-catalog.schema.test.ts</x:v>
      </x:c>
      <x:c r="B55" s="3" t="str">
        <x:v>passed</x:v>
      </x:c>
      <x:c r="C55" s="3" t="n">
        <x:v>4</x:v>
      </x:c>
      <x:c r="D55" s="3" t="n">
        <x:v>0</x:v>
      </x:c>
      <x:c r="E55" s="3" t="str">
        <x:v>Không ghi nhận failure ở file trong lần chạy này.</x:v>
      </x:c>
    </x:row>
    <x:row r="56" ht="36" customHeight="1">
      <x:c r="A56" s="3" t="str">
        <x:v>src/features/products/schemas/product-detail.schema.test.ts</x:v>
      </x:c>
      <x:c r="B56" s="3" t="str">
        <x:v>passed</x:v>
      </x:c>
      <x:c r="C56" s="3" t="n">
        <x:v>4</x:v>
      </x:c>
      <x:c r="D56" s="3" t="n">
        <x:v>0</x:v>
      </x:c>
      <x:c r="E56" s="3" t="str">
        <x:v>Không ghi nhận failure ở file trong lần chạy này.</x:v>
      </x:c>
    </x:row>
    <x:row r="57" ht="36" customHeight="1">
      <x:c r="A57" s="3" t="str">
        <x:v>src/features/products/components/catalog-filters.test.tsx</x:v>
      </x:c>
      <x:c r="B57" s="3" t="str">
        <x:v>passed</x:v>
      </x:c>
      <x:c r="C57" s="3" t="n">
        <x:v>4</x:v>
      </x:c>
      <x:c r="D57" s="3" t="n">
        <x:v>0</x:v>
      </x:c>
      <x:c r="E57" s="3" t="str">
        <x:v>Không ghi nhận failure ở file trong lần chạy này.</x:v>
      </x:c>
    </x:row>
    <x:row r="58" ht="36" customHeight="1">
      <x:c r="A58" s="3" t="str">
        <x:v>src/features/products/components/catalog-origin-filter.test.tsx</x:v>
      </x:c>
      <x:c r="B58" s="3" t="str">
        <x:v>passed</x:v>
      </x:c>
      <x:c r="C58" s="3" t="n">
        <x:v>4</x:v>
      </x:c>
      <x:c r="D58" s="3" t="n">
        <x:v>0</x:v>
      </x:c>
      <x:c r="E58" s="3" t="str">
        <x:v>Không ghi nhận failure ở file trong lần chạy này.</x:v>
      </x:c>
    </x:row>
    <x:row r="59" ht="36" customHeight="1">
      <x:c r="A59" s="3" t="str">
        <x:v>src/features/products/components/catalog-workspace.test.tsx</x:v>
      </x:c>
      <x:c r="B59" s="3" t="str">
        <x:v>passed</x:v>
      </x:c>
      <x:c r="C59" s="3" t="n">
        <x:v>6</x:v>
      </x:c>
      <x:c r="D59" s="3" t="n">
        <x:v>0</x:v>
      </x:c>
      <x:c r="E59" s="3" t="str">
        <x:v>Không ghi nhận failure ở file trong lần chạy này.</x:v>
      </x:c>
    </x:row>
    <x:row r="60" ht="36" customHeight="1">
      <x:c r="A60" s="3" t="str">
        <x:v>src/features/products/components/category-strip.test.tsx</x:v>
      </x:c>
      <x:c r="B60" s="3" t="str">
        <x:v>passed</x:v>
      </x:c>
      <x:c r="C60" s="3" t="n">
        <x:v>2</x:v>
      </x:c>
      <x:c r="D60" s="3" t="n">
        <x:v>0</x:v>
      </x:c>
      <x:c r="E60" s="3" t="str">
        <x:v>Không ghi nhận failure ở file trong lần chạy này.</x:v>
      </x:c>
    </x:row>
    <x:row r="61" ht="36" customHeight="1">
      <x:c r="A61" s="3" t="str">
        <x:v>src/features/products/components/product-card.test.tsx</x:v>
      </x:c>
      <x:c r="B61" s="3" t="str">
        <x:v>passed</x:v>
      </x:c>
      <x:c r="C61" s="3" t="n">
        <x:v>4</x:v>
      </x:c>
      <x:c r="D61" s="3" t="n">
        <x:v>0</x:v>
      </x:c>
      <x:c r="E61" s="3" t="str">
        <x:v>Không ghi nhận failure ở file trong lần chạy này.</x:v>
      </x:c>
    </x:row>
    <x:row r="62" ht="36" customHeight="1">
      <x:c r="A62" s="3" t="str">
        <x:v>src/features/products/components/product-information.test.tsx</x:v>
      </x:c>
      <x:c r="B62" s="3" t="str">
        <x:v>passed</x:v>
      </x:c>
      <x:c r="C62" s="3" t="n">
        <x:v>1</x:v>
      </x:c>
      <x:c r="D62" s="3" t="n">
        <x:v>0</x:v>
      </x:c>
      <x:c r="E62" s="3" t="str">
        <x:v>Không ghi nhận failure ở file trong lần chạy này.</x:v>
      </x:c>
    </x:row>
    <x:row r="63" ht="36" customHeight="1">
      <x:c r="A63" s="3" t="str">
        <x:v>src/features/products/components/product-purchase-panel.test.tsx</x:v>
      </x:c>
      <x:c r="B63" s="3" t="str">
        <x:v>passed</x:v>
      </x:c>
      <x:c r="C63" s="3" t="n">
        <x:v>2</x:v>
      </x:c>
      <x:c r="D63" s="3" t="n">
        <x:v>0</x:v>
      </x:c>
      <x:c r="E63" s="3" t="str">
        <x:v>Không ghi nhận failure ở file trong lần chạy này.</x:v>
      </x:c>
    </x:row>
    <x:row r="64" ht="36" customHeight="1">
      <x:c r="A64" s="3" t="str">
        <x:v>src/features/products/utils/map-public-product.test.ts</x:v>
      </x:c>
      <x:c r="B64" s="3" t="str">
        <x:v>passed</x:v>
      </x:c>
      <x:c r="C64" s="3" t="n">
        <x:v>3</x:v>
      </x:c>
      <x:c r="D64" s="3" t="n">
        <x:v>0</x:v>
      </x:c>
      <x:c r="E64" s="3" t="str">
        <x:v>Không ghi nhận failure ở file trong lần chạy này.</x:v>
      </x:c>
    </x:row>
    <x:row r="65" ht="36" customHeight="1">
      <x:c r="A65" s="3" t="str">
        <x:v>src/features/products/utils/product-display.test.ts</x:v>
      </x:c>
      <x:c r="B65" s="3" t="str">
        <x:v>passed</x:v>
      </x:c>
      <x:c r="C65" s="3" t="n">
        <x:v>4</x:v>
      </x:c>
      <x:c r="D65" s="3" t="n">
        <x:v>0</x:v>
      </x:c>
      <x:c r="E65" s="3" t="str">
        <x:v>Không ghi nhận failure ở file trong lần chạy này.</x:v>
      </x:c>
    </x:row>
    <x:row r="66" ht="36" customHeight="1">
      <x:c r="A66" s="3" t="str">
        <x:v>src/features/profile/api/profile.service.test.ts</x:v>
      </x:c>
      <x:c r="B66" s="3" t="str">
        <x:v>passed</x:v>
      </x:c>
      <x:c r="C66" s="3" t="n">
        <x:v>10</x:v>
      </x:c>
      <x:c r="D66" s="3" t="n">
        <x:v>0</x:v>
      </x:c>
      <x:c r="E66" s="3" t="str">
        <x:v>Không ghi nhận failure ở file trong lần chạy này.</x:v>
      </x:c>
    </x:row>
    <x:row r="67" ht="36" customHeight="1">
      <x:c r="A67" s="3" t="str">
        <x:v>src/features/profile/schemas/profile-form.schema.test.ts</x:v>
      </x:c>
      <x:c r="B67" s="3" t="str">
        <x:v>passed</x:v>
      </x:c>
      <x:c r="C67" s="3" t="n">
        <x:v>5</x:v>
      </x:c>
      <x:c r="D67" s="3" t="n">
        <x:v>0</x:v>
      </x:c>
      <x:c r="E67" s="3" t="str">
        <x:v>Không ghi nhận failure ở file trong lần chạy này.</x:v>
      </x:c>
    </x:row>
    <x:row r="68" ht="36" customHeight="1">
      <x:c r="A68" s="3" t="str">
        <x:v>src/features/profile/components/profile-screen.test.tsx</x:v>
      </x:c>
      <x:c r="B68" s="3" t="str">
        <x:v>passed</x:v>
      </x:c>
      <x:c r="C68" s="3" t="n">
        <x:v>3</x:v>
      </x:c>
      <x:c r="D68" s="3" t="n">
        <x:v>0</x:v>
      </x:c>
      <x:c r="E68" s="3" t="str">
        <x:v>Không ghi nhận failure ở file trong lần chạy này.</x:v>
      </x:c>
    </x:row>
    <x:row r="69" ht="36" customHeight="1">
      <x:c r="A69" s="3" t="str">
        <x:v>src/features/rfqs/api/rfqs.service.test.ts</x:v>
      </x:c>
      <x:c r="B69" s="3" t="str">
        <x:v>passed</x:v>
      </x:c>
      <x:c r="C69" s="3" t="n">
        <x:v>3</x:v>
      </x:c>
      <x:c r="D69" s="3" t="n">
        <x:v>0</x:v>
      </x:c>
      <x:c r="E69" s="3" t="str">
        <x:v>Không ghi nhận failure ở file trong lần chạy này.</x:v>
      </x:c>
    </x:row>
    <x:row r="70" ht="71" customHeight="1">
      <x:c r="A70" s="3" t="str">
        <x:v>src/features/rfqs/components/rfqs-table.test.tsx</x:v>
      </x:c>
      <x:c r="B70" s="3" t="str">
        <x:v>failed</x:v>
      </x:c>
      <x:c r="C70" s="3" t="n">
        <x:v>0</x:v>
      </x:c>
      <x:c r="D70" s="3" t="n">
        <x:v>2</x:v>
      </x:c>
      <x:c r="E70" s="3" t="str">
        <x:v>RfqsTable shows API RFQ data and links to detail by id — Error: Failed to call `useTranslations` because the context from `NextIntlClientProvider` was not found.
RfqsTable requests the next page when more RFQs are available — Error: Failed to call `useTranslations` because the context from `NextIntlClientProvider` was not found.</x:v>
      </x:c>
    </x:row>
  </x:sheetData>
  <x:conditionalFormatting sqref="B5:B70">
    <x:cfRule type="containsText" dxfId="54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17f453ed77d740bc"/>
  </x:tableParts>
</x:worksheet>
</file>